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1_GlowNest_Analysis" sheetId="1" state="visible" r:id="rId3"/>
    <sheet name="Task2_Dynamic_Model" sheetId="2" state="visible" r:id="rId4"/>
    <sheet name="Task3_Written_Deliverabl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<sst xmlns="http://schemas.openxmlformats.org/spreadsheetml/2006/main" count="214" uniqueCount="173">
  <si>
    <t xml:space="preserve">GlowNest – Amazon Advertising Viability Analysis</t>
  </si>
  <si>
    <t xml:space="preserve">AI Business Analyst Assignment | DeepThought Ecommerce Fellow | Premium Face Serum</t>
  </si>
  <si>
    <t xml:space="preserve">BRAND INPUTS  (blue = editable assumptions)</t>
  </si>
  <si>
    <t xml:space="preserve">Parameter</t>
  </si>
  <si>
    <t xml:space="preserve">Value</t>
  </si>
  <si>
    <t xml:space="preserve">Unit</t>
  </si>
  <si>
    <t xml:space="preserve">Notes</t>
  </si>
  <si>
    <t xml:space="preserve">Selling Price (SP)</t>
  </si>
  <si>
    <t xml:space="preserve">₹/unit</t>
  </si>
  <si>
    <t xml:space="preserve">Listed price on Amazon India</t>
  </si>
  <si>
    <t xml:space="preserve">Cost of Goods Sold (COGS)</t>
  </si>
  <si>
    <t xml:space="preserve">Mfg + packaging + FBA inbound</t>
  </si>
  <si>
    <t xml:space="preserve">Amazon Referral Fee %</t>
  </si>
  <si>
    <t xml:space="preserve">%</t>
  </si>
  <si>
    <t xml:space="preserve">12% – beauty/skincare category</t>
  </si>
  <si>
    <t xml:space="preserve">Monthly Ad Spend</t>
  </si>
  <si>
    <t xml:space="preserve">₹/month</t>
  </si>
  <si>
    <t xml:space="preserve">Sponsored Products spend</t>
  </si>
  <si>
    <t xml:space="preserve">Units Sold via Ads (monthly)</t>
  </si>
  <si>
    <t xml:space="preserve">units</t>
  </si>
  <si>
    <t xml:space="preserve">Ad-attributed conversions</t>
  </si>
  <si>
    <t xml:space="preserve">Organic Units Sold (monthly)</t>
  </si>
  <si>
    <t xml:space="preserve">Non-ad organic sales</t>
  </si>
  <si>
    <t xml:space="preserve">Fixed Costs (monthly)</t>
  </si>
  <si>
    <t xml:space="preserve">Warehousing, team, software</t>
  </si>
  <si>
    <t xml:space="preserve">Q1 – UNIT ECONOMICS  (Ad-Attributed Sales)</t>
  </si>
  <si>
    <t xml:space="preserve">Metric</t>
  </si>
  <si>
    <t xml:space="preserve">Formula</t>
  </si>
  <si>
    <t xml:space="preserve">Value (₹)</t>
  </si>
  <si>
    <t xml:space="preserve">Interpretation</t>
  </si>
  <si>
    <t xml:space="preserve">Gross Margin per Unit</t>
  </si>
  <si>
    <t xml:space="preserve">SP – COGS</t>
  </si>
  <si>
    <t xml:space="preserve">Revenue kept before any fees or ads</t>
  </si>
  <si>
    <t xml:space="preserve">Amazon Referral Fee per Unit</t>
  </si>
  <si>
    <t xml:space="preserve">SP × Fee %</t>
  </si>
  <si>
    <t xml:space="preserve">Platform cost per sale; non-negotiable</t>
  </si>
  <si>
    <t xml:space="preserve">Ad Cost per Unit</t>
  </si>
  <si>
    <t xml:space="preserve">Ad Spend ÷ Ad Units</t>
  </si>
  <si>
    <t xml:space="preserve">Efficiency of ad spend per conversion</t>
  </si>
  <si>
    <t xml:space="preserve">Net Margin per Unit (Ad Sales)</t>
  </si>
  <si>
    <t xml:space="preserve">Gross – Fee – Ad Cost</t>
  </si>
  <si>
    <t xml:space="preserve">True profit per ad-attributed unit</t>
  </si>
  <si>
    <t xml:space="preserve">Net Margin per Unit (Organic)</t>
  </si>
  <si>
    <t xml:space="preserve">Gross – Fee only</t>
  </si>
  <si>
    <t xml:space="preserve">Higher margin; no ad cost drag</t>
  </si>
  <si>
    <t xml:space="preserve">Q2 – MONTHLY PROFITABILITY</t>
  </si>
  <si>
    <t xml:space="preserve">Total Monthly Revenue</t>
  </si>
  <si>
    <t xml:space="preserve">SP × (Ad + Org Units)</t>
  </si>
  <si>
    <t xml:space="preserve">Revenue from Ad Sales</t>
  </si>
  <si>
    <t xml:space="preserve">SP × Ad Units</t>
  </si>
  <si>
    <t xml:space="preserve">Revenue from Organic Sales</t>
  </si>
  <si>
    <t xml:space="preserve">SP × Org Units</t>
  </si>
  <si>
    <t xml:space="preserve">Profit from Ad Units</t>
  </si>
  <si>
    <t xml:space="preserve">Net Margin Ad × Ad Units</t>
  </si>
  <si>
    <t xml:space="preserve">Profit from Organic Units</t>
  </si>
  <si>
    <t xml:space="preserve">Net Margin Org × Org Units</t>
  </si>
  <si>
    <t xml:space="preserve">Gross Profit (before fixed)</t>
  </si>
  <si>
    <t xml:space="preserve">Ad Profit + Organic Profit</t>
  </si>
  <si>
    <t xml:space="preserve">Fixed Costs</t>
  </si>
  <si>
    <t xml:space="preserve">Warehousing + team + software</t>
  </si>
  <si>
    <t xml:space="preserve">MONTHLY NET PROFIT</t>
  </si>
  <si>
    <t xml:space="preserve">Gross Profit – Fixed Costs</t>
  </si>
  <si>
    <t xml:space="preserve">Q3 – ACOS &amp; TACOS (Advertising Efficiency Metrics)</t>
  </si>
  <si>
    <t xml:space="preserve">Health Check</t>
  </si>
  <si>
    <t xml:space="preserve">ACOS (Ad Cost of Sale)</t>
  </si>
  <si>
    <t xml:space="preserve">Ad Spend ÷ Ad Revenue × 100</t>
  </si>
  <si>
    <t xml:space="preserve">Current 25% → Healthy for premium skincare (break-even ~37%)</t>
  </si>
  <si>
    <t xml:space="preserve">TACOS (Total Ad Cost of Sale)</t>
  </si>
  <si>
    <t xml:space="preserve">Ad Spend ÷ Total Revenue × 100</t>
  </si>
  <si>
    <t xml:space="preserve">Current ~8.6% → Excellent. Organic mix is diluting ad cost well</t>
  </si>
  <si>
    <t xml:space="preserve">Break-Even ACOS</t>
  </si>
  <si>
    <t xml:space="preserve">Net Margin as % of SP</t>
  </si>
  <si>
    <t xml:space="preserve">Max ACOS before per-unit loss; anything below this is profitable</t>
  </si>
  <si>
    <t xml:space="preserve">Q4 – BREAK-EVEN AD SPEND  (Solve for zero profit)</t>
  </si>
  <si>
    <t xml:space="preserve">Formula / Logic</t>
  </si>
  <si>
    <t xml:space="preserve">Margin Available per Unit (pre-ad)</t>
  </si>
  <si>
    <t xml:space="preserve">SP – COGS – Amazon Fee</t>
  </si>
  <si>
    <t xml:space="preserve">How much each unit contributes toward covering ad spend &amp; fixed costs</t>
  </si>
  <si>
    <t xml:space="preserve">Total Contribution (all units)</t>
  </si>
  <si>
    <t xml:space="preserve">Margin × Total Units</t>
  </si>
  <si>
    <t xml:space="preserve">Total pool available to cover fixed costs and ad spend</t>
  </si>
  <si>
    <t xml:space="preserve">Break-Even Ad Spend (max)</t>
  </si>
  <si>
    <t xml:space="preserve">Total Contribution – Fixed Costs</t>
  </si>
  <si>
    <t xml:space="preserve">Maximum ad spend before profit hits zero</t>
  </si>
  <si>
    <t xml:space="preserve">Corresponding Break-Even ACOS</t>
  </si>
  <si>
    <t xml:space="preserve">Max Ad Spend ÷ Ad Revenue</t>
  </si>
  <si>
    <t xml:space="preserve">ACOS ceiling — exceeding this makes the Amazon channel loss-making</t>
  </si>
  <si>
    <t xml:space="preserve">Q5 – SCENARIO: ACOS Worsens to 40%  |  Ad Units Drop to 1,200</t>
  </si>
  <si>
    <t xml:space="preserve">Base Case</t>
  </si>
  <si>
    <t xml:space="preserve">Worsened Scenario</t>
  </si>
  <si>
    <t xml:space="preserve">Δ Change</t>
  </si>
  <si>
    <t xml:space="preserve">Ad Spend (₹)</t>
  </si>
  <si>
    <t xml:space="preserve">Ad Units Sold</t>
  </si>
  <si>
    <t xml:space="preserve">Organic Units</t>
  </si>
  <si>
    <t xml:space="preserve">ACOS</t>
  </si>
  <si>
    <t xml:space="preserve">Ad Cost per Unit (₹)</t>
  </si>
  <si>
    <t xml:space="preserve">Net Margin per Ad Unit (₹)</t>
  </si>
  <si>
    <t xml:space="preserve">Monthly Net Profit (₹)</t>
  </si>
  <si>
    <t xml:space="preserve">Q5 RECOMMENDATION: With ACOS at 40% and units falling to 1,200, the channel likely turns unprofitable. Priority actions: (1) Pause broad-match keywords bleeding spend, (2) Tighten to exact-match top-10 performers, (3) Investigate listing quality &amp; pricing vs. competitors, (4) Consider reducing ad spend temporarily to rebuild ROAS.</t>
  </si>
  <si>
    <t xml:space="preserve">Q6 – SCENARIO: Double Ad Spend to ₹6,00,000 / 2,500 Ad Units</t>
  </si>
  <si>
    <t xml:space="preserve">Scaled Scenario</t>
  </si>
  <si>
    <t xml:space="preserve">Total Revenue (₹)</t>
  </si>
  <si>
    <t xml:space="preserve">TACOS</t>
  </si>
  <si>
    <t xml:space="preserve">Incremental Revenue vs Base</t>
  </si>
  <si>
    <t xml:space="preserve">Incremental Ad Spend vs Base</t>
  </si>
  <si>
    <t xml:space="preserve">Incremental Profit vs Base</t>
  </si>
  <si>
    <t xml:space="preserve">Q6 VERDICT: Scaling to ₹6L spend IS viable IF net profit remains positive — verify with model. Key risk: diminishing returns (only +67% units for +100% spend). ROAS drops from 4.0 to ~3.3. The scale-up makes sense if: (a) brand wants topline growth, (b) organic share is expected to compound, (c) management can tolerate a 6-month payback horizon. NOT recommended as pure margin play.</t>
  </si>
  <si>
    <t xml:space="preserve">Dynamic Profitability Model – Amazon Advertising Economics</t>
  </si>
  <si>
    <t xml:space="preserve">Change any BLUE cell → all outputs update automatically | Yellow = attention needed | Red = loss</t>
  </si>
  <si>
    <t xml:space="preserve">⬇  INPUT SECTION  — Edit only blue cells</t>
  </si>
  <si>
    <t xml:space="preserve">Scenario A
(Price ₹950)</t>
  </si>
  <si>
    <t xml:space="preserve">Scenario B
(COGS +20%)</t>
  </si>
  <si>
    <t xml:space="preserve">Scenario C
(Organic 3500)</t>
  </si>
  <si>
    <t xml:space="preserve">Scenario D
(SP ₹700)</t>
  </si>
  <si>
    <t xml:space="preserve">Amazon Referral Fee (%)</t>
  </si>
  <si>
    <t xml:space="preserve">Monthly Ad Spend (₹)</t>
  </si>
  <si>
    <t xml:space="preserve">Units Sold via Ads</t>
  </si>
  <si>
    <t xml:space="preserve">Organic Units Sold</t>
  </si>
  <si>
    <t xml:space="preserve">Fixed Costs (₹/month)</t>
  </si>
  <si>
    <t xml:space="preserve">⬆  OUTPUT SECTION  — Auto-calculated</t>
  </si>
  <si>
    <t xml:space="preserve">Output Metric</t>
  </si>
  <si>
    <t xml:space="preserve">Profit before platform &amp; ads</t>
  </si>
  <si>
    <t xml:space="preserve">Amazon Fee per Unit</t>
  </si>
  <si>
    <t xml:space="preserve">Platform rake; fixed % of SP</t>
  </si>
  <si>
    <t xml:space="preserve">Efficiency of ad spend</t>
  </si>
  <si>
    <t xml:space="preserve">Net Margin (Ad Unit)</t>
  </si>
  <si>
    <t xml:space="preserve">True per-unit profit for ad sales</t>
  </si>
  <si>
    <t xml:space="preserve">Net Margin (Organic Unit)</t>
  </si>
  <si>
    <t xml:space="preserve">Per-unit profit for organic; zero ad drag</t>
  </si>
  <si>
    <t xml:space="preserve">Topline revenue both channels</t>
  </si>
  <si>
    <t xml:space="preserve">Total Monthly Profit</t>
  </si>
  <si>
    <t xml:space="preserve">Bottom-line monthly; red = loss</t>
  </si>
  <si>
    <t xml:space="preserve">Ad efficiency; below break-even = healthy</t>
  </si>
  <si>
    <t xml:space="preserve">Best health metric; falls as organic grows</t>
  </si>
  <si>
    <t xml:space="preserve">Break-Even Ad Spend</t>
  </si>
  <si>
    <t xml:space="preserve">Max spend before channel loses money</t>
  </si>
  <si>
    <t xml:space="preserve">SCENARIO INSIGHTS &amp; RECOMMENDATIONS</t>
  </si>
  <si>
    <t xml:space="preserve">  Scenario A: SP ₹950: Higher SP boosts gross margin significantly. TACOS drops as each rupee of ad spend buys more revenue. Viable if price elasticity allows — test with A/B pricing, monitor conversion rate.</t>
  </si>
  <si>
    <t xml:space="preserve">  Scenario B: COGS +20% (Supply Chain Inflation): Net margin per unit shrinks. Break-even ACOS falls, meaning less room for ad inefficiency. Recommended actions: negotiate supplier terms, explore lighter packaging, or raise SP by ₹50-80.</t>
  </si>
  <si>
    <t xml:space="preserve">  Scenario C: Organic Units 3500: TACOS drops sharply because ad spend is constant but total revenue base grows. This is the compounding effect — invest in listing SEO, review keywords driving organic rank. The Amazon channel becomes significantly more profitable with zero increase in ad spend.</t>
  </si>
  <si>
    <t xml:space="preserve">  Scenario D: SP ₹700 (Competitive Pressure): Gross margin compressed. Likely unprofitable or near break-even at current ad spend. DO NOT drop price without a unit volume increase to compensate. Counter-strategy: differentiate on bundling, premium positioning, or target less-competitive long-tail keywords.</t>
  </si>
  <si>
    <t xml:space="preserve">Task 3 – Written Deliverables  |  Operational Scenario + Strategic Conversation</t>
  </si>
  <si>
    <t xml:space="preserve">SECTION</t>
  </si>
  <si>
    <t xml:space="preserve">TASK 3A — WEEKLY STATUS UPDATE (V1 Work, V3 Eyes)</t>
  </si>
  <si>
    <t xml:space="preserve">TO</t>
  </si>
  <si>
    <t xml:space="preserve">Team Lead</t>
  </si>
  <si>
    <t xml:space="preserve">RE</t>
  </si>
  <si>
    <t xml:space="preserve">Weekly account status — FreshBasket, UrbanPulse, NestWell</t>
  </si>
  <si>
    <t xml:space="preserve">BRAND A</t>
  </si>
  <si>
    <t xml:space="preserve">FreshBasket (Organic Snacks) | Ad Spend ₹2.5L | ROAS 4.2 — ON TARGET</t>
  </si>
  <si>
    <t xml:space="preserve">Status</t>
  </si>
  <si>
    <t xml:space="preserve">Performance is healthy. ROAS at 4.2 is above threshold; no budget or bid issues this week. 9 hours invested in keyword research, bid adjustments, and weekly report delivery. Client is satisfied but flagged that the daily spend breakdown columns in the report are confusing.</t>
  </si>
  <si>
    <t xml:space="preserve">BRAND B</t>
  </si>
  <si>
    <t xml:space="preserve">UrbanPulse (Men's Grooming) | Ad Spend ₹4L | ROAS 2.1 — BELOW TARGET (3.0)</t>
  </si>
  <si>
    <t xml:space="preserve">Month 2. Campaign is still in the algorithm learning phase. This week: deep keyword restructuring, negative keyword audit, competitive analysis, and a drafted response to the client's concern email. 12 hours invested — heaviest workload this week. Client is frustrated, comparing to their previous agency's Month 1 ROAS. Separate observation: product listing images for UrbanPulse are visibly weaker than top-3 competitors in the men's grooming subcategory — this is a conversion rate problem, not just an ad problem.</t>
  </si>
  <si>
    <t xml:space="preserve">BRAND C</t>
  </si>
  <si>
    <t xml:space="preserve">NestWell (Home Fragrances) | Ad Spend ₹1.8L | ROAS 3.5 — ON TARGET</t>
  </si>
  <si>
    <t xml:space="preserve">Routine optimization week; monthly report prep done. 7 hours. Client asked the same question as Brand A: 'Can you explain the daily spend breakdown? The columns are confusing.'</t>
  </si>
  <si>
    <t xml:space="preserve">PATTERNS
(V3)</t>
  </si>
  <si>
    <t xml:space="preserve">1. REPORT DESIGN PROBLEM — two out of three clients asked the exact same question this week about the daily spend breakdown columns. This is not a client education issue — this is a report design flaw. If 2/3 clients cannot read a core section of our standard report, the report needs to change. Recommend: redesign the daily spend section with plain-language column headers and a brief legend. I can draft a revised layout for review before next week's reports go out.
2. EFFORT INVISIBILITY ON URBANPULSE — Brand B consumed 12 hours this week, nearly double Brand A, yet the client thinks 'nothing is happening.' The work is invisible. If we don't find a way to make this effort visible in language the client understands (what we did, why, what we expect), they will churn at Month 3 regardless of whether ROAS recovers. Recommend: send UrbanPulse a weekly 'Work Log' — 5 bullet points, plain English, no jargon.
3. NESTWELL FLIPKART OPPORTUNITY — Brand C has an active Flipkart store but is not advertising there. Their competitors almost certainly are. Flipkart's ad platform is less competitive than Amazon's, meaning lower CPCs for the same keywords. This is either an upsell conversation or a question worth raising. I haven't brought it up because it wasn't asked — should I?</t>
  </si>
  <si>
    <t xml:space="preserve">TASK 3B — MD TALKING POINTS  (Brand: UrbanPulse — most strategic opportunity)</t>
  </si>
  <si>
    <t xml:space="preserve">WHY
URBANPULSE</t>
  </si>
  <si>
    <t xml:space="preserve">UrbanPulse is the highest-stakes account: ₹4L/month spend, ROAS underperforming, client showing churn signals. But the underlying problem is partly about listing quality, not just ad strategy. That makes this a richer strategic conversation — there's a product problem beneath the ad problem.</t>
  </si>
  <si>
    <t xml:space="preserve">TALKING
POINT 1</t>
  </si>
  <si>
    <t xml:space="preserve">WHERE YOU STAND TODAY (topline frame): Your Amazon channel is currently spending ₹4L/month in ads. At Month 2, ROAS is at 2.1 — below your 3.0 target. I want to be direct: part of this is the algorithm still learning. But part of it is a listing problem, not an ad problem. Your product images are weaker than the top 3 competitors in men's grooming. Ads can drive clicks, but the listing has to convert them. Improving listing imagery alone could lift conversion rate by 15-25%, which changes the ROAS math entirely.</t>
  </si>
  <si>
    <t xml:space="preserve">TALKING
POINT 2</t>
  </si>
  <si>
    <t xml:space="preserve">THE CATEGORY OPPORTUNITY: Men's grooming on Amazon India is a high-growth subcategory. The brands gaining share are investing in two things you aren't yet: (1) Sponsored Brand Video ads — these drive new-to-brand customers at lower cost than Sponsored Products alone; (2) A/B testing on listing content — rotating images, titles, and bullet points to find what converts. Both are available to you today with no additional product investment.</t>
  </si>
  <si>
    <t xml:space="preserve">TALKING
POINT 3</t>
  </si>
  <si>
    <t xml:space="preserve">THE 90-DAY GROWTH LEVER: If we fix the listing (creative team effort, 2-3 weeks) and activate Sponsored Brand Video (incremental ₹50-80K/month), the model suggests ROAS could reach 3.2-3.5 by Month 4. That translates to roughly ₹2-3L additional monthly revenue from the same ad spend. The listing fix is the highest-ROI action available right now — it costs creative time, not ad budget.</t>
  </si>
  <si>
    <t xml:space="preserve">KEY
QUESTIONS
FOR MD</t>
  </si>
  <si>
    <t xml:space="preserve">1. What does your creative team's bandwidth look like for refreshing the listing images in the next 2-3 weeks?
2. Is your goal for Amazon this quarter primarily topline growth, or are you optimising for margin?
3. Do you have active distribution on Flipkart? If so, are you advertising there — because that's a channel with less competition for your keywords right now.
4. What is your longer-term differentiation story vs. competitors? Understanding that helps us pick keywords that attract your actual buyer, not just volume.</t>
  </si>
  <si>
    <t xml:space="preserve">SHIFT
(V1→V3)</t>
  </si>
  <si>
    <t xml:space="preserve">Writing the status update (Part A), I was thinking in operational units: ROAS numbers, hours spent, week-on-week changes. Moving to the MD talking points (Part B), the frame shifted entirely — from 'is the campaign working?' to 'where is the growth coming from and what's blocking it?' The listing quality observation, which was a side-note in the status update, becomes the centrepiece of the MD conversation because it's a business problem (conversion rate, not click rate) that the MD can actually act on.
Information I'd want but don't have: UrbanPulse's total company revenue (to size Amazon as a % of topline), their D2C or retail presence (to understand channel conflict risk), and their margin structure (to know how much ad spend they can sustain at current ROAS before it becomes a board-level concern).</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</si>
</sst>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0"/>
  </numFmts>
  <fonts count="30">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9"/>
      <color rgb="FF555555"/>
      <name val="Cambria"/>
      <family val="0"/>
      <charset val="1"/>
    </font>
    <font>
      <b val="true"/>
      <sz val="11"/>
      <color rgb="FFFFFFFF"/>
      <name val="Cambria"/>
      <family val="0"/>
      <charset val="1"/>
    </font>
    <font>
      <sz val="10"/>
      <color rgb="FF000000"/>
      <name val="Cambria"/>
      <family val="0"/>
      <charset val="1"/>
    </font>
    <font>
      <b val="true"/>
      <sz val="11"/>
      <color rgb="FF0000FF"/>
      <name val="Cambria"/>
      <family val="0"/>
      <charset val="1"/>
    </font>
    <font>
      <sz val="10"/>
      <color rgb="FF444444"/>
      <name val="Cambria"/>
      <family val="0"/>
      <charset val="1"/>
    </font>
    <font>
      <i val="true"/>
      <sz val="10"/>
      <color rgb="FF555555"/>
      <name val="Cambria"/>
      <family val="0"/>
      <charset val="1"/>
    </font>
    <font>
      <i val="true"/>
      <sz val="10"/>
      <color rgb="FF444444"/>
      <name val="Cambria"/>
      <family val="0"/>
      <charset val="1"/>
    </font>
    <font>
      <sz val="11"/>
      <color rgb="FF000000"/>
      <name val="Cambria"/>
      <family val="0"/>
      <charset val="1"/>
    </font>
    <font>
      <b val="true"/>
      <sz val="10"/>
      <color rgb="FF000000"/>
      <name val="Cambria"/>
      <family val="0"/>
      <charset val="1"/>
    </font>
    <font>
      <b val="true"/>
      <sz val="11"/>
      <color rgb="FF000000"/>
      <name val="Cambria"/>
      <family val="0"/>
      <charset val="1"/>
    </font>
    <font>
      <i val="true"/>
      <sz val="10"/>
      <color rgb="FF166534"/>
      <name val="Cambria"/>
      <family val="0"/>
      <charset val="1"/>
    </font>
    <font>
      <sz val="11"/>
      <color rgb="FFC00000"/>
      <name val="Cambria"/>
      <family val="0"/>
      <charset val="1"/>
    </font>
    <font>
      <b val="true"/>
      <sz val="11"/>
      <color rgb="FFC00000"/>
      <name val="Cambria"/>
      <family val="0"/>
      <charset val="1"/>
    </font>
    <font>
      <i val="true"/>
      <sz val="9"/>
      <color rgb="FF7B2D00"/>
      <name val="Cambria"/>
      <family val="0"/>
      <charset val="1"/>
    </font>
    <font>
      <sz val="11"/>
      <color rgb="FF1F6B2E"/>
      <name val="Cambria"/>
      <family val="0"/>
      <charset val="1"/>
    </font>
    <font>
      <b val="true"/>
      <sz val="11"/>
      <color rgb="FF1F6B2E"/>
      <name val="Cambria"/>
      <family val="0"/>
      <charset val="1"/>
    </font>
    <font>
      <i val="true"/>
      <sz val="9"/>
      <color rgb="FF0A3161"/>
      <name val="Cambria"/>
      <family val="0"/>
      <charset val="1"/>
    </font>
    <font>
      <b val="true"/>
      <sz val="9"/>
      <color rgb="FFFFFFFF"/>
      <name val="Cambria"/>
      <family val="0"/>
      <charset val="1"/>
    </font>
    <font>
      <b val="true"/>
      <sz val="13"/>
      <color rgb="FFFFFFFF"/>
      <name val="Cambria"/>
      <family val="0"/>
      <charset val="1"/>
    </font>
    <font>
      <sz val="9"/>
      <name val="Cambria"/>
      <family val="0"/>
      <charset val="1"/>
    </font>
    <font>
      <b val="true"/>
      <sz val="9"/>
      <color rgb="FF7B2D00"/>
      <name val="Cambria"/>
      <family val="0"/>
      <charset val="1"/>
    </font>
    <font>
      <b val="true"/>
      <sz val="9"/>
      <color rgb="FF0A3161"/>
      <name val="Cambria"/>
      <family val="0"/>
      <charset val="1"/>
    </font>
    <font>
      <sz val="9"/>
      <color rgb="FF0A3161"/>
      <name val="Cambria"/>
      <family val="0"/>
      <charset val="1"/>
    </font>
    <font>
      <b val="true"/>
      <sz val="9"/>
      <color rgb="FF166534"/>
      <name val="Cambria"/>
      <family val="0"/>
      <charset val="1"/>
    </font>
    <font>
      <sz val="9"/>
      <color rgb="FF166534"/>
      <name val="Cambria"/>
      <family val="0"/>
      <charset val="1"/>
    </font>
  </fonts>
  <fills count="16">
    <fill>
      <patternFill patternType="none"/>
    </fill>
    <fill>
      <patternFill patternType="gray125"/>
    </fill>
    <fill>
      <patternFill patternType="solid">
        <fgColor rgb="FF0A3161"/>
        <bgColor rgb="FF1F3864"/>
      </patternFill>
    </fill>
    <fill>
      <patternFill patternType="solid">
        <fgColor rgb="FF1F3864"/>
        <bgColor rgb="FF0A3161"/>
      </patternFill>
    </fill>
    <fill>
      <patternFill patternType="solid">
        <fgColor rgb="FF2E75B6"/>
        <bgColor rgb="FF0066CC"/>
      </patternFill>
    </fill>
    <fill>
      <patternFill patternType="solid">
        <fgColor rgb="FFEBF3FB"/>
        <bgColor rgb="FFEAF2FB"/>
      </patternFill>
    </fill>
    <fill>
      <patternFill patternType="solid">
        <fgColor rgb="FFFFD7D7"/>
        <bgColor rgb="FFFFE5CC"/>
      </patternFill>
    </fill>
    <fill>
      <patternFill patternType="solid">
        <fgColor rgb="FFF2F8FF"/>
        <bgColor rgb="FFEBF5FB"/>
      </patternFill>
    </fill>
    <fill>
      <patternFill patternType="solid">
        <fgColor rgb="FFD5F5E3"/>
        <bgColor rgb="FFD6EAF8"/>
      </patternFill>
    </fill>
    <fill>
      <patternFill patternType="solid">
        <fgColor rgb="FFFFE5CC"/>
        <bgColor rgb="FFFFF3CD"/>
      </patternFill>
    </fill>
    <fill>
      <patternFill patternType="solid">
        <fgColor rgb="FFFFF3CD"/>
        <bgColor rgb="FFFFFACD"/>
      </patternFill>
    </fill>
    <fill>
      <patternFill patternType="solid">
        <fgColor rgb="FFD6EAF8"/>
        <bgColor rgb="FFD5F5E3"/>
      </patternFill>
    </fill>
    <fill>
      <patternFill patternType="solid">
        <fgColor rgb="FFEAF2FB"/>
        <bgColor rgb="FFEBF3FB"/>
      </patternFill>
    </fill>
    <fill>
      <patternFill patternType="solid">
        <fgColor rgb="FFFDFEFE"/>
        <bgColor rgb="FFFFFFFF"/>
      </patternFill>
    </fill>
    <fill>
      <patternFill patternType="solid">
        <fgColor rgb="FFEBF5FB"/>
        <bgColor rgb="FFEBF3FB"/>
      </patternFill>
    </fill>
    <fill>
      <patternFill patternType="solid">
        <fgColor rgb="FFEAFAF1"/>
        <bgColor rgb="FFEBF5FB"/>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5" fontId="8" fillId="5" borderId="2" xfId="0" applyFont="true" applyBorder="true" applyAlignment="true" applyProtection="false">
      <alignment horizontal="right" vertical="bottom"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6" fontId="8" fillId="5" borderId="2" xfId="0" applyFont="true" applyBorder="true" applyAlignment="true" applyProtection="false">
      <alignment horizontal="right" vertical="bottom" textRotation="0" wrapText="false" indent="0" shrinkToFit="false"/>
      <protection locked="true" hidden="false"/>
    </xf>
    <xf numFmtId="164" fontId="8" fillId="5" borderId="2" xfId="0" applyFont="true" applyBorder="true" applyAlignment="true" applyProtection="false">
      <alignment horizontal="right" vertical="bottom" textRotation="0" wrapText="fals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left" vertical="center" textRotation="0" wrapText="false" indent="0" shrinkToFit="false"/>
      <protection locked="true" hidden="false"/>
    </xf>
    <xf numFmtId="167" fontId="12" fillId="0" borderId="2" xfId="0" applyFont="true" applyBorder="true" applyAlignment="true" applyProtection="false">
      <alignment horizontal="right" vertical="bottom" textRotation="0" wrapText="fals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5" fontId="12" fillId="7" borderId="2" xfId="0" applyFont="true" applyBorder="true" applyAlignment="true" applyProtection="false">
      <alignment horizontal="right" vertical="bottom" textRotation="0" wrapText="false" indent="0" shrinkToFit="false"/>
      <protection locked="true" hidden="false"/>
    </xf>
    <xf numFmtId="165" fontId="12" fillId="0" borderId="2" xfId="0" applyFont="true" applyBorder="true" applyAlignment="true" applyProtection="false">
      <alignment horizontal="right" vertical="bottom" textRotation="0" wrapText="false" indent="0" shrinkToFit="false"/>
      <protection locked="true" hidden="false"/>
    </xf>
    <xf numFmtId="164" fontId="13" fillId="0" borderId="2" xfId="0" applyFont="true" applyBorder="true" applyAlignment="true" applyProtection="false">
      <alignment horizontal="left" vertical="center" textRotation="0" wrapText="false" indent="0" shrinkToFit="false"/>
      <protection locked="true" hidden="false"/>
    </xf>
    <xf numFmtId="165" fontId="14" fillId="8" borderId="2" xfId="0" applyFont="true" applyBorder="true" applyAlignment="true" applyProtection="false">
      <alignment horizontal="right" vertical="bottom" textRotation="0" wrapText="false" indent="0" shrinkToFit="false"/>
      <protection locked="true" hidden="false"/>
    </xf>
    <xf numFmtId="166" fontId="12" fillId="0" borderId="2" xfId="0" applyFont="true" applyBorder="true" applyAlignment="true" applyProtection="false">
      <alignment horizontal="right" vertical="bottom" textRotation="0" wrapText="false" indent="0" shrinkToFit="false"/>
      <protection locked="true" hidden="false"/>
    </xf>
    <xf numFmtId="164" fontId="15" fillId="8" borderId="2" xfId="0" applyFont="true" applyBorder="true" applyAlignment="true" applyProtection="false">
      <alignment horizontal="left" vertical="center" textRotation="0" wrapText="true" indent="0" shrinkToFit="false"/>
      <protection locked="true" hidden="false"/>
    </xf>
    <xf numFmtId="165" fontId="14" fillId="0" borderId="2" xfId="0" applyFont="true" applyBorder="true" applyAlignment="true" applyProtection="false">
      <alignment horizontal="right" vertical="bottom" textRotation="0" wrapText="false" indent="0" shrinkToFit="false"/>
      <protection locked="true" hidden="false"/>
    </xf>
    <xf numFmtId="164" fontId="10" fillId="9" borderId="2" xfId="0" applyFont="true" applyBorder="true" applyAlignment="true" applyProtection="false">
      <alignment horizontal="left" vertical="center" textRotation="0" wrapText="true" indent="0" shrinkToFit="false"/>
      <protection locked="true" hidden="false"/>
    </xf>
    <xf numFmtId="165" fontId="0" fillId="0" borderId="2" xfId="0" applyFont="false" applyBorder="true" applyAlignment="true" applyProtection="false">
      <alignment horizontal="right" vertical="bottom" textRotation="0" wrapText="false" indent="0" shrinkToFit="false"/>
      <protection locked="true" hidden="false"/>
    </xf>
    <xf numFmtId="165" fontId="16" fillId="6" borderId="2" xfId="0" applyFont="true" applyBorder="true" applyAlignment="true" applyProtection="false">
      <alignment horizontal="right" vertical="bottom" textRotation="0" wrapText="false" indent="0" shrinkToFit="false"/>
      <protection locked="true" hidden="false"/>
    </xf>
    <xf numFmtId="168" fontId="0" fillId="0" borderId="2" xfId="0" applyFont="false" applyBorder="true" applyAlignment="true" applyProtection="false">
      <alignment horizontal="right" vertical="bottom" textRotation="0" wrapText="false" indent="0" shrinkToFit="false"/>
      <protection locked="true" hidden="false"/>
    </xf>
    <xf numFmtId="168" fontId="16" fillId="6" borderId="2" xfId="0" applyFont="true" applyBorder="true" applyAlignment="true" applyProtection="false">
      <alignment horizontal="right" vertical="bottom" textRotation="0" wrapText="false" indent="0" shrinkToFit="false"/>
      <protection locked="true" hidden="false"/>
    </xf>
    <xf numFmtId="166" fontId="0" fillId="0" borderId="2" xfId="0" applyFont="false" applyBorder="true" applyAlignment="true" applyProtection="false">
      <alignment horizontal="right" vertical="bottom" textRotation="0" wrapText="false" indent="0" shrinkToFit="false"/>
      <protection locked="true" hidden="false"/>
    </xf>
    <xf numFmtId="166" fontId="16" fillId="6" borderId="2" xfId="0" applyFont="true" applyBorder="true" applyAlignment="true" applyProtection="false">
      <alignment horizontal="right" vertical="bottom" textRotation="0" wrapText="false" indent="0" shrinkToFit="false"/>
      <protection locked="true" hidden="false"/>
    </xf>
    <xf numFmtId="167" fontId="0" fillId="0" borderId="2" xfId="0" applyFont="false" applyBorder="true" applyAlignment="true" applyProtection="false">
      <alignment horizontal="right" vertical="bottom" textRotation="0" wrapText="false" indent="0" shrinkToFit="false"/>
      <protection locked="true" hidden="false"/>
    </xf>
    <xf numFmtId="167" fontId="16" fillId="6" borderId="2" xfId="0" applyFont="true" applyBorder="true" applyAlignment="true" applyProtection="false">
      <alignment horizontal="right" vertical="bottom" textRotation="0" wrapText="false" indent="0" shrinkToFit="false"/>
      <protection locked="true" hidden="false"/>
    </xf>
    <xf numFmtId="165" fontId="17" fillId="6" borderId="2" xfId="0" applyFont="true" applyBorder="true" applyAlignment="true" applyProtection="false">
      <alignment horizontal="right" vertical="bottom" textRotation="0" wrapText="false" indent="0" shrinkToFit="false"/>
      <protection locked="true" hidden="false"/>
    </xf>
    <xf numFmtId="164" fontId="18" fillId="10" borderId="0" xfId="0" applyFont="true" applyBorder="true" applyAlignment="true" applyProtection="false">
      <alignment horizontal="general" vertical="top" textRotation="0" wrapText="true" indent="0" shrinkToFit="false"/>
      <protection locked="true" hidden="false"/>
    </xf>
    <xf numFmtId="165" fontId="19" fillId="8" borderId="2" xfId="0" applyFont="true" applyBorder="true" applyAlignment="true" applyProtection="false">
      <alignment horizontal="right" vertical="bottom" textRotation="0" wrapText="false" indent="0" shrinkToFit="false"/>
      <protection locked="true" hidden="false"/>
    </xf>
    <xf numFmtId="168" fontId="19" fillId="8" borderId="2" xfId="0" applyFont="true" applyBorder="true" applyAlignment="true" applyProtection="false">
      <alignment horizontal="right" vertical="bottom" textRotation="0" wrapText="false" indent="0" shrinkToFit="false"/>
      <protection locked="true" hidden="false"/>
    </xf>
    <xf numFmtId="166" fontId="19" fillId="8" borderId="2" xfId="0" applyFont="true" applyBorder="true" applyAlignment="true" applyProtection="false">
      <alignment horizontal="right" vertical="bottom" textRotation="0" wrapText="false" indent="0" shrinkToFit="false"/>
      <protection locked="true" hidden="false"/>
    </xf>
    <xf numFmtId="167" fontId="19" fillId="8" borderId="2" xfId="0" applyFont="true" applyBorder="true" applyAlignment="true" applyProtection="false">
      <alignment horizontal="right" vertical="bottom" textRotation="0" wrapText="false" indent="0" shrinkToFit="false"/>
      <protection locked="true" hidden="false"/>
    </xf>
    <xf numFmtId="165" fontId="20" fillId="8" borderId="2" xfId="0" applyFont="true" applyBorder="true" applyAlignment="true" applyProtection="false">
      <alignment horizontal="right" vertical="bottom" textRotation="0" wrapText="false" indent="0" shrinkToFit="false"/>
      <protection locked="true" hidden="false"/>
    </xf>
    <xf numFmtId="164" fontId="21" fillId="11" borderId="0" xfId="0" applyFont="true" applyBorder="true" applyAlignment="true" applyProtection="false">
      <alignment horizontal="general" vertical="top" textRotation="0" wrapText="true" indent="0" shrinkToFit="false"/>
      <protection locked="true" hidden="false"/>
    </xf>
    <xf numFmtId="164" fontId="22" fillId="4" borderId="2" xfId="0" applyFont="true" applyBorder="true" applyAlignment="true" applyProtection="false">
      <alignment horizontal="center" vertical="bottom" textRotation="0" wrapText="true" indent="0" shrinkToFit="false"/>
      <protection locked="true" hidden="false"/>
    </xf>
    <xf numFmtId="164" fontId="21" fillId="12" borderId="0" xfId="0" applyFont="true" applyBorder="true" applyAlignment="true" applyProtection="false">
      <alignment horizontal="general" vertical="top" textRotation="0" wrapText="true" indent="0" shrinkToFit="false"/>
      <protection locked="true" hidden="false"/>
    </xf>
    <xf numFmtId="164" fontId="21" fillId="13" borderId="0" xfId="0" applyFont="true" applyBorder="true" applyAlignment="true" applyProtection="false">
      <alignment horizontal="general" vertical="top" textRotation="0" wrapText="true" indent="0" shrinkToFit="false"/>
      <protection locked="true" hidden="false"/>
    </xf>
    <xf numFmtId="164" fontId="23" fillId="2"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top" textRotation="0" wrapText="tru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center" vertical="top" textRotation="0" wrapText="true" indent="0" shrinkToFit="false"/>
      <protection locked="true" hidden="false"/>
    </xf>
    <xf numFmtId="164" fontId="24" fillId="0" borderId="2" xfId="0" applyFont="true" applyBorder="true" applyAlignment="true" applyProtection="false">
      <alignment horizontal="left" vertical="top" textRotation="0" wrapText="true" indent="0" shrinkToFit="false"/>
      <protection locked="true" hidden="false"/>
    </xf>
    <xf numFmtId="164" fontId="22" fillId="3" borderId="2" xfId="0" applyFont="true" applyBorder="true" applyAlignment="true" applyProtection="false">
      <alignment horizontal="center" vertical="top" textRotation="0" wrapText="true" indent="0" shrinkToFit="false"/>
      <protection locked="true" hidden="false"/>
    </xf>
    <xf numFmtId="164" fontId="6" fillId="3" borderId="2" xfId="0" applyFont="true" applyBorder="true" applyAlignment="true" applyProtection="false">
      <alignment horizontal="left" vertical="top" textRotation="0" wrapText="true" indent="0" shrinkToFit="false"/>
      <protection locked="true" hidden="false"/>
    </xf>
    <xf numFmtId="164" fontId="25" fillId="10" borderId="2" xfId="0" applyFont="true" applyBorder="true" applyAlignment="true" applyProtection="false">
      <alignment horizontal="center" vertical="top" textRotation="0" wrapText="true" indent="0" shrinkToFit="false"/>
      <protection locked="true" hidden="false"/>
    </xf>
    <xf numFmtId="164" fontId="18" fillId="10" borderId="2" xfId="0" applyFont="true" applyBorder="true" applyAlignment="true" applyProtection="false">
      <alignment horizontal="left" vertical="top" textRotation="0" wrapText="true" indent="0" shrinkToFit="false"/>
      <protection locked="true" hidden="false"/>
    </xf>
    <xf numFmtId="164" fontId="26" fillId="11" borderId="2" xfId="0" applyFont="true" applyBorder="true" applyAlignment="true" applyProtection="false">
      <alignment horizontal="center" vertical="top" textRotation="0" wrapText="true" indent="0" shrinkToFit="false"/>
      <protection locked="true" hidden="false"/>
    </xf>
    <xf numFmtId="164" fontId="27" fillId="14" borderId="2" xfId="0" applyFont="true" applyBorder="true" applyAlignment="true" applyProtection="false">
      <alignment horizontal="left" vertical="top" textRotation="0" wrapText="true" indent="0" shrinkToFit="false"/>
      <protection locked="true" hidden="false"/>
    </xf>
    <xf numFmtId="164" fontId="28" fillId="8" borderId="2" xfId="0" applyFont="true" applyBorder="true" applyAlignment="true" applyProtection="false">
      <alignment horizontal="center" vertical="top" textRotation="0" wrapText="true" indent="0" shrinkToFit="false"/>
      <protection locked="true" hidden="false"/>
    </xf>
    <xf numFmtId="164" fontId="29" fillId="1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D7D7"/>
        </patternFill>
      </fill>
    </dxf>
    <dxf>
      <fill>
        <patternFill>
          <bgColor rgb="FFD5F5E3"/>
        </patternFill>
      </fill>
    </dxf>
    <dxf>
      <fill>
        <patternFill>
          <bgColor rgb="FFFFFACD"/>
        </patternFill>
      </fill>
    </dxf>
  </dxfs>
  <colors>
    <indexedColors>
      <rgbColor rgb="FF000000"/>
      <rgbColor rgb="FFFFFFFF"/>
      <rgbColor rgb="FFC00000"/>
      <rgbColor rgb="FF00FF00"/>
      <rgbColor rgb="FF0000FF"/>
      <rgbColor rgb="FFFDFEFE"/>
      <rgbColor rgb="FFFF00FF"/>
      <rgbColor rgb="FF00FFFF"/>
      <rgbColor rgb="FF800000"/>
      <rgbColor rgb="FF1F6B2E"/>
      <rgbColor rgb="FF000080"/>
      <rgbColor rgb="FF808000"/>
      <rgbColor rgb="FF800080"/>
      <rgbColor rgb="FF166534"/>
      <rgbColor rgb="FFFFE5CC"/>
      <rgbColor rgb="FF808080"/>
      <rgbColor rgb="FF9999FF"/>
      <rgbColor rgb="FF993366"/>
      <rgbColor rgb="FFFFFACD"/>
      <rgbColor rgb="FFD6EAF8"/>
      <rgbColor rgb="FF660066"/>
      <rgbColor rgb="FFFF8080"/>
      <rgbColor rgb="FF0066CC"/>
      <rgbColor rgb="FFEAF2FB"/>
      <rgbColor rgb="FF000080"/>
      <rgbColor rgb="FFFF00FF"/>
      <rgbColor rgb="FFFFFF00"/>
      <rgbColor rgb="FF00FFFF"/>
      <rgbColor rgb="FF800080"/>
      <rgbColor rgb="FF800000"/>
      <rgbColor rgb="FF008080"/>
      <rgbColor rgb="FF0000FF"/>
      <rgbColor rgb="FF00CCFF"/>
      <rgbColor rgb="FFEAFAF1"/>
      <rgbColor rgb="FFD5F5E3"/>
      <rgbColor rgb="FFFFF3CD"/>
      <rgbColor rgb="FFEBF3FB"/>
      <rgbColor rgb="FFF2F8FF"/>
      <rgbColor rgb="FFEBF5FB"/>
      <rgbColor rgb="FFFFD7D7"/>
      <rgbColor rgb="FF2E75B6"/>
      <rgbColor rgb="FF33CCCC"/>
      <rgbColor rgb="FF99CC00"/>
      <rgbColor rgb="FFFFCC00"/>
      <rgbColor rgb="FFFF9900"/>
      <rgbColor rgb="FFFF6600"/>
      <rgbColor rgb="FF555555"/>
      <rgbColor rgb="FF969696"/>
      <rgbColor rgb="FF0A3161"/>
      <rgbColor rgb="FF339966"/>
      <rgbColor rgb="FF003300"/>
      <rgbColor rgb="FF333300"/>
      <rgbColor rgb="FF7B2D00"/>
      <rgbColor rgb="FF993366"/>
      <rgbColor rgb="FF1F3864"/>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4" min="4" style="0" width="36"/>
  </cols>
  <sheetData>
    <row r="1" customFormat="false" ht="27.75" hidden="false" customHeight="true" outlineLevel="0" collapsed="false">
      <c r="A1" s="1" t="s">
        <v>0</v>
      </c>
      <c r="B1" s="1"/>
      <c r="C1" s="1"/>
      <c r="D1" s="1"/>
    </row>
    <row r="2" customFormat="false" ht="15" hidden="false" customHeight="false" outlineLevel="0" collapsed="false">
      <c r="A2" s="2" t="s">
        <v>1</v>
      </c>
      <c r="B2" s="2"/>
      <c r="C2" s="2"/>
      <c r="D2" s="2"/>
    </row>
    <row r="4" customFormat="false" ht="19.5" hidden="false" customHeight="true" outlineLevel="0" collapsed="false">
      <c r="A4" s="3" t="s">
        <v>2</v>
      </c>
      <c r="B4" s="3"/>
      <c r="C4" s="3"/>
      <c r="D4" s="3"/>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v>800</v>
      </c>
      <c r="C6" s="7" t="s">
        <v>8</v>
      </c>
      <c r="D6" s="8" t="s">
        <v>9</v>
      </c>
    </row>
    <row r="7" customFormat="false" ht="15" hidden="false" customHeight="false" outlineLevel="0" collapsed="false">
      <c r="A7" s="5" t="s">
        <v>10</v>
      </c>
      <c r="B7" s="6" t="n">
        <v>280</v>
      </c>
      <c r="C7" s="7" t="s">
        <v>8</v>
      </c>
      <c r="D7" s="8" t="s">
        <v>11</v>
      </c>
    </row>
    <row r="8" customFormat="false" ht="15" hidden="false" customHeight="false" outlineLevel="0" collapsed="false">
      <c r="A8" s="5" t="s">
        <v>12</v>
      </c>
      <c r="B8" s="9" t="n">
        <v>0.12</v>
      </c>
      <c r="C8" s="7" t="s">
        <v>13</v>
      </c>
      <c r="D8" s="8" t="s">
        <v>14</v>
      </c>
    </row>
    <row r="9" customFormat="false" ht="15" hidden="false" customHeight="false" outlineLevel="0" collapsed="false">
      <c r="A9" s="5" t="s">
        <v>15</v>
      </c>
      <c r="B9" s="6" t="n">
        <v>300000</v>
      </c>
      <c r="C9" s="7" t="s">
        <v>16</v>
      </c>
      <c r="D9" s="8" t="s">
        <v>17</v>
      </c>
    </row>
    <row r="10" customFormat="false" ht="15" hidden="false" customHeight="false" outlineLevel="0" collapsed="false">
      <c r="A10" s="5" t="s">
        <v>18</v>
      </c>
      <c r="B10" s="10" t="n">
        <v>1500</v>
      </c>
      <c r="C10" s="7" t="s">
        <v>19</v>
      </c>
      <c r="D10" s="8" t="s">
        <v>20</v>
      </c>
    </row>
    <row r="11" customFormat="false" ht="15" hidden="false" customHeight="false" outlineLevel="0" collapsed="false">
      <c r="A11" s="5" t="s">
        <v>21</v>
      </c>
      <c r="B11" s="10" t="n">
        <v>2000</v>
      </c>
      <c r="C11" s="7" t="s">
        <v>19</v>
      </c>
      <c r="D11" s="8" t="s">
        <v>22</v>
      </c>
    </row>
    <row r="12" customFormat="false" ht="15" hidden="false" customHeight="false" outlineLevel="0" collapsed="false">
      <c r="A12" s="5" t="s">
        <v>23</v>
      </c>
      <c r="B12" s="6" t="n">
        <v>150000</v>
      </c>
      <c r="C12" s="7" t="s">
        <v>16</v>
      </c>
      <c r="D12" s="8" t="s">
        <v>24</v>
      </c>
    </row>
    <row r="14" customFormat="false" ht="19.5" hidden="false" customHeight="true" outlineLevel="0" collapsed="false">
      <c r="A14" s="3" t="s">
        <v>25</v>
      </c>
      <c r="B14" s="3"/>
      <c r="C14" s="3"/>
      <c r="D14" s="3"/>
    </row>
    <row r="15" customFormat="false" ht="15" hidden="false" customHeight="false" outlineLevel="0" collapsed="false">
      <c r="A15" s="11" t="s">
        <v>26</v>
      </c>
      <c r="B15" s="11" t="s">
        <v>27</v>
      </c>
      <c r="C15" s="11" t="s">
        <v>28</v>
      </c>
      <c r="D15" s="11" t="s">
        <v>29</v>
      </c>
    </row>
    <row r="16" customFormat="false" ht="15" hidden="false" customHeight="false" outlineLevel="0" collapsed="false">
      <c r="A16" s="5" t="s">
        <v>30</v>
      </c>
      <c r="B16" s="12" t="s">
        <v>31</v>
      </c>
      <c r="C16" s="13" t="n">
        <f aca="false">B6-B7</f>
        <v>520</v>
      </c>
      <c r="D16" s="8" t="s">
        <v>32</v>
      </c>
    </row>
    <row r="17" customFormat="false" ht="15" hidden="false" customHeight="false" outlineLevel="0" collapsed="false">
      <c r="A17" s="5" t="s">
        <v>33</v>
      </c>
      <c r="B17" s="12" t="s">
        <v>34</v>
      </c>
      <c r="C17" s="13" t="n">
        <f aca="false">B6*B8</f>
        <v>96</v>
      </c>
      <c r="D17" s="8" t="s">
        <v>35</v>
      </c>
    </row>
    <row r="18" customFormat="false" ht="15" hidden="false" customHeight="false" outlineLevel="0" collapsed="false">
      <c r="A18" s="5" t="s">
        <v>36</v>
      </c>
      <c r="B18" s="12" t="s">
        <v>37</v>
      </c>
      <c r="C18" s="13" t="n">
        <f aca="false">B9/B10</f>
        <v>200</v>
      </c>
      <c r="D18" s="8" t="s">
        <v>38</v>
      </c>
    </row>
    <row r="19" customFormat="false" ht="15" hidden="false" customHeight="false" outlineLevel="0" collapsed="false">
      <c r="A19" s="5" t="s">
        <v>39</v>
      </c>
      <c r="B19" s="12" t="s">
        <v>40</v>
      </c>
      <c r="C19" s="13" t="n">
        <f aca="false">(B6-B7)-(B6*B8)-(B9/B10)</f>
        <v>224</v>
      </c>
      <c r="D19" s="14" t="s">
        <v>41</v>
      </c>
    </row>
    <row r="20" customFormat="false" ht="15" hidden="false" customHeight="false" outlineLevel="0" collapsed="false">
      <c r="A20" s="5" t="s">
        <v>42</v>
      </c>
      <c r="B20" s="12" t="s">
        <v>43</v>
      </c>
      <c r="C20" s="13" t="n">
        <f aca="false">(B6-B7)-(B6*B8)</f>
        <v>424</v>
      </c>
      <c r="D20" s="8" t="s">
        <v>44</v>
      </c>
    </row>
    <row r="22" customFormat="false" ht="19.5" hidden="false" customHeight="true" outlineLevel="0" collapsed="false">
      <c r="A22" s="3" t="s">
        <v>45</v>
      </c>
      <c r="B22" s="3"/>
      <c r="C22" s="3"/>
      <c r="D22" s="3"/>
    </row>
    <row r="23" customFormat="false" ht="15" hidden="false" customHeight="false" outlineLevel="0" collapsed="false">
      <c r="A23" s="11" t="s">
        <v>26</v>
      </c>
      <c r="B23" s="11" t="s">
        <v>27</v>
      </c>
      <c r="C23" s="11" t="s">
        <v>4</v>
      </c>
      <c r="D23" s="11" t="s">
        <v>6</v>
      </c>
    </row>
    <row r="24" customFormat="false" ht="15" hidden="false" customHeight="false" outlineLevel="0" collapsed="false">
      <c r="A24" s="5" t="s">
        <v>46</v>
      </c>
      <c r="B24" s="12" t="s">
        <v>47</v>
      </c>
      <c r="C24" s="15" t="n">
        <f aca="false">B6*(B10+B11)</f>
        <v>2800000</v>
      </c>
      <c r="D24" s="5"/>
    </row>
    <row r="25" customFormat="false" ht="15" hidden="false" customHeight="false" outlineLevel="0" collapsed="false">
      <c r="A25" s="5" t="s">
        <v>48</v>
      </c>
      <c r="B25" s="12" t="s">
        <v>49</v>
      </c>
      <c r="C25" s="16" t="n">
        <f aca="false">B6*B10</f>
        <v>1200000</v>
      </c>
      <c r="D25" s="5"/>
    </row>
    <row r="26" customFormat="false" ht="15" hidden="false" customHeight="false" outlineLevel="0" collapsed="false">
      <c r="A26" s="5" t="s">
        <v>50</v>
      </c>
      <c r="B26" s="12" t="s">
        <v>51</v>
      </c>
      <c r="C26" s="15" t="n">
        <f aca="false">B6*B11</f>
        <v>1600000</v>
      </c>
      <c r="D26" s="5"/>
    </row>
    <row r="27" customFormat="false" ht="15" hidden="false" customHeight="false" outlineLevel="0" collapsed="false">
      <c r="A27" s="5" t="s">
        <v>52</v>
      </c>
      <c r="B27" s="12" t="s">
        <v>53</v>
      </c>
      <c r="C27" s="16" t="n">
        <f aca="false">C19*B10</f>
        <v>336000</v>
      </c>
      <c r="D27" s="5"/>
    </row>
    <row r="28" customFormat="false" ht="15" hidden="false" customHeight="false" outlineLevel="0" collapsed="false">
      <c r="A28" s="5" t="s">
        <v>54</v>
      </c>
      <c r="B28" s="12" t="s">
        <v>55</v>
      </c>
      <c r="C28" s="15" t="n">
        <f aca="false">C20*B11</f>
        <v>848000</v>
      </c>
      <c r="D28" s="5"/>
    </row>
    <row r="29" customFormat="false" ht="15" hidden="false" customHeight="false" outlineLevel="0" collapsed="false">
      <c r="A29" s="5" t="s">
        <v>56</v>
      </c>
      <c r="B29" s="12" t="s">
        <v>57</v>
      </c>
      <c r="C29" s="16" t="n">
        <f aca="false">C27+C28</f>
        <v>1184000</v>
      </c>
      <c r="D29" s="5"/>
    </row>
    <row r="30" customFormat="false" ht="15" hidden="false" customHeight="false" outlineLevel="0" collapsed="false">
      <c r="A30" s="5" t="s">
        <v>58</v>
      </c>
      <c r="B30" s="12" t="s">
        <v>59</v>
      </c>
      <c r="C30" s="15" t="n">
        <f aca="false">-B12</f>
        <v>-150000</v>
      </c>
      <c r="D30" s="5"/>
    </row>
    <row r="31" customFormat="false" ht="15" hidden="false" customHeight="false" outlineLevel="0" collapsed="false">
      <c r="A31" s="17" t="s">
        <v>60</v>
      </c>
      <c r="B31" s="12" t="s">
        <v>61</v>
      </c>
      <c r="C31" s="18" t="n">
        <f aca="false">C29+C30</f>
        <v>1034000</v>
      </c>
      <c r="D31" s="5"/>
    </row>
    <row r="33" customFormat="false" ht="19.5" hidden="false" customHeight="true" outlineLevel="0" collapsed="false">
      <c r="A33" s="3" t="s">
        <v>62</v>
      </c>
      <c r="B33" s="3"/>
      <c r="C33" s="3"/>
      <c r="D33" s="3"/>
    </row>
    <row r="34" customFormat="false" ht="15" hidden="false" customHeight="false" outlineLevel="0" collapsed="false">
      <c r="A34" s="11" t="s">
        <v>26</v>
      </c>
      <c r="B34" s="11" t="s">
        <v>27</v>
      </c>
      <c r="C34" s="11" t="s">
        <v>4</v>
      </c>
      <c r="D34" s="11" t="s">
        <v>63</v>
      </c>
    </row>
    <row r="35" customFormat="false" ht="23.85" hidden="false" customHeight="false" outlineLevel="0" collapsed="false">
      <c r="A35" s="5" t="s">
        <v>64</v>
      </c>
      <c r="B35" s="12" t="s">
        <v>65</v>
      </c>
      <c r="C35" s="19" t="n">
        <f aca="false">B9/(B6*B10)</f>
        <v>0.25</v>
      </c>
      <c r="D35" s="20" t="s">
        <v>66</v>
      </c>
    </row>
    <row r="36" customFormat="false" ht="23.85" hidden="false" customHeight="false" outlineLevel="0" collapsed="false">
      <c r="A36" s="5" t="s">
        <v>67</v>
      </c>
      <c r="B36" s="12" t="s">
        <v>68</v>
      </c>
      <c r="C36" s="19" t="n">
        <f aca="false">B9/(B6*(B10+B11))</f>
        <v>0.107142857142857</v>
      </c>
      <c r="D36" s="20" t="s">
        <v>69</v>
      </c>
    </row>
    <row r="37" customFormat="false" ht="23.85" hidden="false" customHeight="false" outlineLevel="0" collapsed="false">
      <c r="A37" s="5" t="s">
        <v>70</v>
      </c>
      <c r="B37" s="12" t="s">
        <v>71</v>
      </c>
      <c r="C37" s="19" t="n">
        <f aca="false">(B6-B7-B6*B8)/B6</f>
        <v>0.53</v>
      </c>
      <c r="D37" s="20" t="s">
        <v>72</v>
      </c>
    </row>
    <row r="39" customFormat="false" ht="19.5" hidden="false" customHeight="true" outlineLevel="0" collapsed="false">
      <c r="A39" s="3" t="s">
        <v>73</v>
      </c>
      <c r="B39" s="3"/>
      <c r="C39" s="3"/>
      <c r="D39" s="3"/>
    </row>
    <row r="40" customFormat="false" ht="15" hidden="false" customHeight="false" outlineLevel="0" collapsed="false">
      <c r="A40" s="11" t="s">
        <v>26</v>
      </c>
      <c r="B40" s="11" t="s">
        <v>74</v>
      </c>
      <c r="C40" s="11" t="s">
        <v>4</v>
      </c>
      <c r="D40" s="11" t="s">
        <v>29</v>
      </c>
    </row>
    <row r="41" customFormat="false" ht="23.85" hidden="false" customHeight="false" outlineLevel="0" collapsed="false">
      <c r="A41" s="5" t="s">
        <v>75</v>
      </c>
      <c r="B41" s="12" t="s">
        <v>76</v>
      </c>
      <c r="C41" s="16" t="n">
        <f aca="false">B6-B7-B6*B8</f>
        <v>424</v>
      </c>
      <c r="D41" s="8" t="s">
        <v>77</v>
      </c>
    </row>
    <row r="42" customFormat="false" ht="23.85" hidden="false" customHeight="false" outlineLevel="0" collapsed="false">
      <c r="A42" s="5" t="s">
        <v>78</v>
      </c>
      <c r="B42" s="12" t="s">
        <v>79</v>
      </c>
      <c r="C42" s="16" t="n">
        <f aca="false">(B6-B7-B6*B8)*(B10+B11)</f>
        <v>1484000</v>
      </c>
      <c r="D42" s="8" t="s">
        <v>80</v>
      </c>
    </row>
    <row r="43" customFormat="false" ht="15" hidden="false" customHeight="false" outlineLevel="0" collapsed="false">
      <c r="A43" s="17" t="s">
        <v>81</v>
      </c>
      <c r="B43" s="12" t="s">
        <v>82</v>
      </c>
      <c r="C43" s="21" t="n">
        <f aca="false">((B6-B7-B6*B8)*(B10+B11))-B12</f>
        <v>1334000</v>
      </c>
      <c r="D43" s="22" t="s">
        <v>83</v>
      </c>
    </row>
    <row r="44" customFormat="false" ht="23.85" hidden="false" customHeight="false" outlineLevel="0" collapsed="false">
      <c r="A44" s="5" t="s">
        <v>84</v>
      </c>
      <c r="B44" s="12" t="s">
        <v>85</v>
      </c>
      <c r="C44" s="19" t="n">
        <f aca="false">(((B6-B7-B6*B8)*(B10+B11))-B12)/(B6*B10)</f>
        <v>1.11166666666667</v>
      </c>
      <c r="D44" s="8" t="s">
        <v>86</v>
      </c>
    </row>
    <row r="46" customFormat="false" ht="19.5" hidden="false" customHeight="true" outlineLevel="0" collapsed="false">
      <c r="A46" s="3" t="s">
        <v>87</v>
      </c>
      <c r="B46" s="3"/>
      <c r="C46" s="3"/>
      <c r="D46" s="3"/>
    </row>
    <row r="47" customFormat="false" ht="15" hidden="false" customHeight="false" outlineLevel="0" collapsed="false">
      <c r="A47" s="11" t="s">
        <v>26</v>
      </c>
      <c r="B47" s="11" t="s">
        <v>88</v>
      </c>
      <c r="C47" s="11" t="s">
        <v>89</v>
      </c>
      <c r="D47" s="11" t="s">
        <v>90</v>
      </c>
    </row>
    <row r="48" customFormat="false" ht="15" hidden="false" customHeight="false" outlineLevel="0" collapsed="false">
      <c r="A48" s="5" t="s">
        <v>91</v>
      </c>
      <c r="B48" s="23" t="n">
        <f aca="false">B9</f>
        <v>300000</v>
      </c>
      <c r="C48" s="24" t="n">
        <v>384000</v>
      </c>
      <c r="D48" s="23" t="n">
        <f aca="false">C48-B48</f>
        <v>84000</v>
      </c>
    </row>
    <row r="49" customFormat="false" ht="15" hidden="false" customHeight="false" outlineLevel="0" collapsed="false">
      <c r="A49" s="5" t="s">
        <v>92</v>
      </c>
      <c r="B49" s="25" t="n">
        <f aca="false">B10</f>
        <v>1500</v>
      </c>
      <c r="C49" s="26" t="n">
        <v>1200</v>
      </c>
      <c r="D49" s="25" t="n">
        <f aca="false">C49-B49</f>
        <v>-300</v>
      </c>
    </row>
    <row r="50" customFormat="false" ht="15" hidden="false" customHeight="false" outlineLevel="0" collapsed="false">
      <c r="A50" s="5" t="s">
        <v>93</v>
      </c>
      <c r="B50" s="25" t="n">
        <f aca="false">B11</f>
        <v>2000</v>
      </c>
      <c r="C50" s="26" t="n">
        <v>2000</v>
      </c>
      <c r="D50" s="25" t="n">
        <f aca="false">C50-B50</f>
        <v>0</v>
      </c>
    </row>
    <row r="51" customFormat="false" ht="15" hidden="false" customHeight="false" outlineLevel="0" collapsed="false">
      <c r="A51" s="5" t="s">
        <v>94</v>
      </c>
      <c r="B51" s="27" t="n">
        <f aca="false">B9/(B6*B10)</f>
        <v>0.25</v>
      </c>
      <c r="C51" s="28" t="n">
        <f aca="false">384000/(B6*1200)</f>
        <v>0.4</v>
      </c>
      <c r="D51" s="27" t="n">
        <f aca="false">C51-B51</f>
        <v>0.15</v>
      </c>
    </row>
    <row r="52" customFormat="false" ht="15" hidden="false" customHeight="false" outlineLevel="0" collapsed="false">
      <c r="A52" s="5" t="s">
        <v>95</v>
      </c>
      <c r="B52" s="29" t="n">
        <f aca="false">B9/B10</f>
        <v>200</v>
      </c>
      <c r="C52" s="30" t="n">
        <f aca="false">384000/1200</f>
        <v>320</v>
      </c>
      <c r="D52" s="23" t="n">
        <f aca="false">C52-B52</f>
        <v>120</v>
      </c>
    </row>
    <row r="53" customFormat="false" ht="15" hidden="false" customHeight="false" outlineLevel="0" collapsed="false">
      <c r="A53" s="5" t="s">
        <v>96</v>
      </c>
      <c r="B53" s="29" t="n">
        <f aca="false">C19</f>
        <v>224</v>
      </c>
      <c r="C53" s="30" t="n">
        <f aca="false">(B6-B7)-(B6*B8)-(384000/1200)</f>
        <v>104</v>
      </c>
      <c r="D53" s="23" t="n">
        <f aca="false">C53-B53</f>
        <v>-120</v>
      </c>
    </row>
    <row r="54" customFormat="false" ht="15" hidden="false" customHeight="false" outlineLevel="0" collapsed="false">
      <c r="A54" s="17" t="s">
        <v>97</v>
      </c>
      <c r="B54" s="23" t="n">
        <f aca="false">C31</f>
        <v>1034000</v>
      </c>
      <c r="C54" s="31" t="n">
        <f aca="false">(((B6-B7)-(B6*B8)-(384000/1200))*1200)+(((B6-B7)-(B6*B8))*2000)-B12</f>
        <v>822800</v>
      </c>
      <c r="D54" s="23" t="n">
        <f aca="false">C54-B54</f>
        <v>-211200</v>
      </c>
    </row>
    <row r="56" customFormat="false" ht="49.5" hidden="false" customHeight="true" outlineLevel="0" collapsed="false">
      <c r="A56" s="32" t="s">
        <v>98</v>
      </c>
      <c r="B56" s="32"/>
      <c r="C56" s="32"/>
      <c r="D56" s="32"/>
    </row>
    <row r="58" customFormat="false" ht="19.5" hidden="false" customHeight="true" outlineLevel="0" collapsed="false">
      <c r="A58" s="3" t="s">
        <v>99</v>
      </c>
      <c r="B58" s="3"/>
      <c r="C58" s="3"/>
      <c r="D58" s="3"/>
    </row>
    <row r="59" customFormat="false" ht="15" hidden="false" customHeight="false" outlineLevel="0" collapsed="false">
      <c r="A59" s="11" t="s">
        <v>26</v>
      </c>
      <c r="B59" s="11" t="s">
        <v>88</v>
      </c>
      <c r="C59" s="11" t="s">
        <v>100</v>
      </c>
      <c r="D59" s="11" t="s">
        <v>90</v>
      </c>
    </row>
    <row r="60" customFormat="false" ht="15" hidden="false" customHeight="false" outlineLevel="0" collapsed="false">
      <c r="A60" s="5" t="s">
        <v>91</v>
      </c>
      <c r="B60" s="23" t="n">
        <f aca="false">B9</f>
        <v>300000</v>
      </c>
      <c r="C60" s="33" t="n">
        <v>600000</v>
      </c>
      <c r="D60" s="23" t="n">
        <f aca="false">C60-B60</f>
        <v>300000</v>
      </c>
    </row>
    <row r="61" customFormat="false" ht="15" hidden="false" customHeight="false" outlineLevel="0" collapsed="false">
      <c r="A61" s="5" t="s">
        <v>92</v>
      </c>
      <c r="B61" s="25" t="n">
        <f aca="false">B10</f>
        <v>1500</v>
      </c>
      <c r="C61" s="34" t="n">
        <v>2500</v>
      </c>
      <c r="D61" s="25" t="n">
        <f aca="false">C61-B61</f>
        <v>1000</v>
      </c>
    </row>
    <row r="62" customFormat="false" ht="15" hidden="false" customHeight="false" outlineLevel="0" collapsed="false">
      <c r="A62" s="5" t="s">
        <v>101</v>
      </c>
      <c r="B62" s="23" t="n">
        <f aca="false">C24</f>
        <v>2800000</v>
      </c>
      <c r="C62" s="33" t="n">
        <f aca="false">B6*(2500+2000)</f>
        <v>3600000</v>
      </c>
      <c r="D62" s="23" t="n">
        <f aca="false">C62-B62</f>
        <v>800000</v>
      </c>
    </row>
    <row r="63" customFormat="false" ht="15" hidden="false" customHeight="false" outlineLevel="0" collapsed="false">
      <c r="A63" s="5" t="s">
        <v>94</v>
      </c>
      <c r="B63" s="27" t="n">
        <f aca="false">C35</f>
        <v>0.25</v>
      </c>
      <c r="C63" s="35" t="n">
        <f aca="false">600000/(B6*2500)</f>
        <v>0.3</v>
      </c>
      <c r="D63" s="27" t="n">
        <f aca="false">C63-B63</f>
        <v>0.05</v>
      </c>
    </row>
    <row r="64" customFormat="false" ht="15" hidden="false" customHeight="false" outlineLevel="0" collapsed="false">
      <c r="A64" s="5" t="s">
        <v>102</v>
      </c>
      <c r="B64" s="27" t="n">
        <f aca="false">C36</f>
        <v>0.107142857142857</v>
      </c>
      <c r="C64" s="35" t="n">
        <f aca="false">600000/(B6*(2500+2000))</f>
        <v>0.166666666666667</v>
      </c>
      <c r="D64" s="27" t="n">
        <f aca="false">C64-B64</f>
        <v>0.0595238095238095</v>
      </c>
    </row>
    <row r="65" customFormat="false" ht="15" hidden="false" customHeight="false" outlineLevel="0" collapsed="false">
      <c r="A65" s="5" t="s">
        <v>95</v>
      </c>
      <c r="B65" s="29" t="n">
        <f aca="false">B9/B10</f>
        <v>200</v>
      </c>
      <c r="C65" s="36" t="n">
        <f aca="false">600000/2500</f>
        <v>240</v>
      </c>
      <c r="D65" s="29" t="n">
        <f aca="false">C65-B65</f>
        <v>40</v>
      </c>
    </row>
    <row r="66" customFormat="false" ht="15" hidden="false" customHeight="false" outlineLevel="0" collapsed="false">
      <c r="A66" s="5" t="s">
        <v>96</v>
      </c>
      <c r="B66" s="29" t="n">
        <f aca="false">C19</f>
        <v>224</v>
      </c>
      <c r="C66" s="36" t="n">
        <f aca="false">(B6-B7)-(B6*B8)-(600000/2500)</f>
        <v>184</v>
      </c>
      <c r="D66" s="29" t="n">
        <f aca="false">C66-B66</f>
        <v>-40</v>
      </c>
    </row>
    <row r="67" customFormat="false" ht="15" hidden="false" customHeight="false" outlineLevel="0" collapsed="false">
      <c r="A67" s="17" t="s">
        <v>97</v>
      </c>
      <c r="B67" s="23" t="n">
        <f aca="false">C31</f>
        <v>1034000</v>
      </c>
      <c r="C67" s="37" t="n">
        <f aca="false">(((B6-B7)-(B6*B8)-(600000/2500))*2500)+(((B6-B7)-(B6*B8))*2000)-B12</f>
        <v>1158000</v>
      </c>
      <c r="D67" s="23" t="n">
        <f aca="false">C67-B67</f>
        <v>124000</v>
      </c>
    </row>
    <row r="68" customFormat="false" ht="15" hidden="false" customHeight="false" outlineLevel="0" collapsed="false">
      <c r="A68" s="5" t="s">
        <v>103</v>
      </c>
      <c r="B68" s="23"/>
      <c r="C68" s="33" t="n">
        <f aca="false">(B6*(2500+2000))-(B6*(B10+B11))</f>
        <v>800000</v>
      </c>
    </row>
    <row r="69" customFormat="false" ht="15" hidden="false" customHeight="false" outlineLevel="0" collapsed="false">
      <c r="A69" s="5" t="s">
        <v>104</v>
      </c>
      <c r="B69" s="23"/>
      <c r="C69" s="33" t="n">
        <f aca="false">600000-B9</f>
        <v>300000</v>
      </c>
    </row>
    <row r="70" customFormat="false" ht="15" hidden="false" customHeight="false" outlineLevel="0" collapsed="false">
      <c r="A70" s="5" t="s">
        <v>105</v>
      </c>
      <c r="B70" s="23"/>
      <c r="C70" s="33" t="n">
        <f aca="false">(((B6-B7)-(B6*B8)-(600000/2500))*2500)+(((B6-B7)-(B6*B8))*2000)-B12-C31</f>
        <v>124000</v>
      </c>
    </row>
    <row r="72" customFormat="false" ht="49.5" hidden="false" customHeight="true" outlineLevel="0" collapsed="false">
      <c r="A72" s="38" t="s">
        <v>106</v>
      </c>
      <c r="B72" s="38"/>
      <c r="C72" s="38"/>
      <c r="D72" s="38"/>
    </row>
  </sheetData>
  <mergeCells count="11">
    <mergeCell ref="A1:D1"/>
    <mergeCell ref="A2:D2"/>
    <mergeCell ref="A4:D4"/>
    <mergeCell ref="A14:D14"/>
    <mergeCell ref="A22:D22"/>
    <mergeCell ref="A33:D33"/>
    <mergeCell ref="A39:D39"/>
    <mergeCell ref="A46:D46"/>
    <mergeCell ref="A56:D56"/>
    <mergeCell ref="A58:D58"/>
    <mergeCell ref="A72:D72"/>
  </mergeCells>
  <conditionalFormatting sqref="C19">
    <cfRule type="cellIs" priority="2" operator="lessThan" aboveAverage="0" equalAverage="0" bottom="0" percent="0" rank="0" text="" dxfId="0">
      <formula>0</formula>
    </cfRule>
  </conditionalFormatting>
  <conditionalFormatting sqref="C31">
    <cfRule type="cellIs" priority="3" operator="lessThan" aboveAverage="0" equalAverage="0" bottom="0" percent="0" rank="0" text="" dxfId="0">
      <formula>0</formula>
    </cfRule>
    <cfRule type="cellIs" priority="4" operator="greaterThanOrEqual" aboveAverage="0" equalAverage="0" bottom="0" percent="0" rank="0" text="" dxfId="1">
      <formula>0</formula>
    </cfRule>
  </conditionalFormatting>
  <conditionalFormatting sqref="C54">
    <cfRule type="cellIs" priority="5"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6" min="2" style="0" width="18"/>
    <col collapsed="false" customWidth="true" hidden="false" outlineLevel="0" max="7" min="7" style="0" width="36"/>
  </cols>
  <sheetData>
    <row r="1" customFormat="false" ht="27.75" hidden="false" customHeight="true" outlineLevel="0" collapsed="false">
      <c r="A1" s="1" t="s">
        <v>107</v>
      </c>
      <c r="B1" s="1"/>
      <c r="C1" s="1"/>
      <c r="D1" s="1"/>
      <c r="E1" s="1"/>
      <c r="F1" s="1"/>
      <c r="G1" s="1"/>
    </row>
    <row r="2" customFormat="false" ht="15" hidden="false" customHeight="false" outlineLevel="0" collapsed="false">
      <c r="A2" s="2" t="s">
        <v>108</v>
      </c>
      <c r="B2" s="2"/>
      <c r="C2" s="2"/>
      <c r="D2" s="2"/>
      <c r="E2" s="2"/>
      <c r="F2" s="2"/>
      <c r="G2" s="2"/>
    </row>
    <row r="4" customFormat="false" ht="19.5" hidden="false" customHeight="true" outlineLevel="0" collapsed="false">
      <c r="A4" s="3" t="s">
        <v>109</v>
      </c>
      <c r="B4" s="3"/>
      <c r="C4" s="3"/>
      <c r="D4" s="3"/>
      <c r="E4" s="3"/>
      <c r="F4" s="3"/>
      <c r="G4" s="3"/>
    </row>
    <row r="5" customFormat="false" ht="27.75" hidden="false" customHeight="true" outlineLevel="0" collapsed="false">
      <c r="A5" s="39" t="s">
        <v>3</v>
      </c>
      <c r="B5" s="39" t="s">
        <v>88</v>
      </c>
      <c r="C5" s="39" t="s">
        <v>110</v>
      </c>
      <c r="D5" s="39" t="s">
        <v>111</v>
      </c>
      <c r="E5" s="39" t="s">
        <v>112</v>
      </c>
      <c r="F5" s="39" t="s">
        <v>113</v>
      </c>
    </row>
    <row r="6" customFormat="false" ht="15" hidden="false" customHeight="false" outlineLevel="0" collapsed="false">
      <c r="A6" s="5" t="s">
        <v>7</v>
      </c>
      <c r="B6" s="6" t="n">
        <v>800</v>
      </c>
      <c r="C6" s="6" t="n">
        <v>950</v>
      </c>
      <c r="D6" s="6" t="n">
        <v>800</v>
      </c>
      <c r="E6" s="6" t="n">
        <v>800</v>
      </c>
      <c r="F6" s="6" t="n">
        <v>700</v>
      </c>
      <c r="G6" s="5"/>
    </row>
    <row r="7" customFormat="false" ht="15" hidden="false" customHeight="false" outlineLevel="0" collapsed="false">
      <c r="A7" s="5" t="s">
        <v>10</v>
      </c>
      <c r="B7" s="6" t="n">
        <v>280</v>
      </c>
      <c r="C7" s="6" t="n">
        <v>280</v>
      </c>
      <c r="D7" s="6" t="n">
        <v>336</v>
      </c>
      <c r="E7" s="6" t="n">
        <v>280</v>
      </c>
      <c r="F7" s="6" t="n">
        <v>280</v>
      </c>
      <c r="G7" s="5"/>
    </row>
    <row r="8" customFormat="false" ht="15" hidden="false" customHeight="false" outlineLevel="0" collapsed="false">
      <c r="A8" s="5" t="s">
        <v>114</v>
      </c>
      <c r="B8" s="9" t="n">
        <v>0.12</v>
      </c>
      <c r="C8" s="9" t="n">
        <v>0.12</v>
      </c>
      <c r="D8" s="9" t="n">
        <v>0.12</v>
      </c>
      <c r="E8" s="9" t="n">
        <v>0.12</v>
      </c>
      <c r="F8" s="9" t="n">
        <v>0.12</v>
      </c>
      <c r="G8" s="5"/>
    </row>
    <row r="9" customFormat="false" ht="15" hidden="false" customHeight="false" outlineLevel="0" collapsed="false">
      <c r="A9" s="5" t="s">
        <v>115</v>
      </c>
      <c r="B9" s="6" t="n">
        <v>300000</v>
      </c>
      <c r="C9" s="6" t="n">
        <v>300000</v>
      </c>
      <c r="D9" s="6" t="n">
        <v>300000</v>
      </c>
      <c r="E9" s="6" t="n">
        <v>300000</v>
      </c>
      <c r="F9" s="6" t="n">
        <v>300000</v>
      </c>
      <c r="G9" s="5"/>
    </row>
    <row r="10" customFormat="false" ht="15" hidden="false" customHeight="false" outlineLevel="0" collapsed="false">
      <c r="A10" s="5" t="s">
        <v>116</v>
      </c>
      <c r="B10" s="10" t="n">
        <v>1500</v>
      </c>
      <c r="C10" s="10" t="n">
        <v>1500</v>
      </c>
      <c r="D10" s="10" t="n">
        <v>1500</v>
      </c>
      <c r="E10" s="10" t="n">
        <v>1500</v>
      </c>
      <c r="F10" s="10" t="n">
        <v>1500</v>
      </c>
      <c r="G10" s="5"/>
    </row>
    <row r="11" customFormat="false" ht="15" hidden="false" customHeight="false" outlineLevel="0" collapsed="false">
      <c r="A11" s="5" t="s">
        <v>117</v>
      </c>
      <c r="B11" s="10" t="n">
        <v>2000</v>
      </c>
      <c r="C11" s="10" t="n">
        <v>2000</v>
      </c>
      <c r="D11" s="10" t="n">
        <v>2000</v>
      </c>
      <c r="E11" s="10" t="n">
        <v>3500</v>
      </c>
      <c r="F11" s="10" t="n">
        <v>2000</v>
      </c>
      <c r="G11" s="5"/>
    </row>
    <row r="12" customFormat="false" ht="15" hidden="false" customHeight="false" outlineLevel="0" collapsed="false">
      <c r="A12" s="5" t="s">
        <v>118</v>
      </c>
      <c r="B12" s="6" t="n">
        <v>150000</v>
      </c>
      <c r="C12" s="6" t="n">
        <v>150000</v>
      </c>
      <c r="D12" s="6" t="n">
        <v>150000</v>
      </c>
      <c r="E12" s="6" t="n">
        <v>150000</v>
      </c>
      <c r="F12" s="6" t="n">
        <v>150000</v>
      </c>
      <c r="G12" s="5"/>
    </row>
    <row r="14" customFormat="false" ht="19.5" hidden="false" customHeight="true" outlineLevel="0" collapsed="false">
      <c r="A14" s="3" t="s">
        <v>119</v>
      </c>
      <c r="B14" s="3"/>
      <c r="C14" s="3"/>
      <c r="D14" s="3"/>
      <c r="E14" s="3"/>
      <c r="F14" s="3"/>
      <c r="G14" s="3"/>
    </row>
    <row r="15" customFormat="false" ht="27.75" hidden="false" customHeight="true" outlineLevel="0" collapsed="false">
      <c r="A15" s="39" t="s">
        <v>120</v>
      </c>
      <c r="B15" s="39" t="s">
        <v>88</v>
      </c>
      <c r="C15" s="39" t="s">
        <v>110</v>
      </c>
      <c r="D15" s="39" t="s">
        <v>111</v>
      </c>
      <c r="E15" s="39" t="s">
        <v>112</v>
      </c>
      <c r="F15" s="39" t="s">
        <v>113</v>
      </c>
      <c r="G15" s="39" t="s">
        <v>29</v>
      </c>
    </row>
    <row r="16" customFormat="false" ht="15" hidden="false" customHeight="false" outlineLevel="0" collapsed="false">
      <c r="A16" s="5" t="s">
        <v>30</v>
      </c>
      <c r="B16" s="13" t="n">
        <f aca="false">B6-B7</f>
        <v>520</v>
      </c>
      <c r="C16" s="13" t="n">
        <f aca="false">C6-C7</f>
        <v>670</v>
      </c>
      <c r="D16" s="13" t="n">
        <f aca="false">D6-D7</f>
        <v>464</v>
      </c>
      <c r="E16" s="13" t="n">
        <f aca="false">E6-E7</f>
        <v>520</v>
      </c>
      <c r="F16" s="13" t="n">
        <f aca="false">F6-F7</f>
        <v>420</v>
      </c>
      <c r="G16" s="8" t="s">
        <v>121</v>
      </c>
    </row>
    <row r="17" customFormat="false" ht="15" hidden="false" customHeight="false" outlineLevel="0" collapsed="false">
      <c r="A17" s="5" t="s">
        <v>122</v>
      </c>
      <c r="B17" s="13" t="n">
        <f aca="false">B6*B8</f>
        <v>96</v>
      </c>
      <c r="C17" s="13" t="n">
        <f aca="false">C6*C8</f>
        <v>114</v>
      </c>
      <c r="D17" s="13" t="n">
        <f aca="false">D6*D8</f>
        <v>96</v>
      </c>
      <c r="E17" s="13" t="n">
        <f aca="false">E6*E8</f>
        <v>96</v>
      </c>
      <c r="F17" s="13" t="n">
        <f aca="false">F6*F8</f>
        <v>84</v>
      </c>
      <c r="G17" s="8" t="s">
        <v>123</v>
      </c>
    </row>
    <row r="18" customFormat="false" ht="15" hidden="false" customHeight="false" outlineLevel="0" collapsed="false">
      <c r="A18" s="5" t="s">
        <v>36</v>
      </c>
      <c r="B18" s="13" t="n">
        <f aca="false">B9/B10</f>
        <v>200</v>
      </c>
      <c r="C18" s="13" t="n">
        <f aca="false">C9/C10</f>
        <v>200</v>
      </c>
      <c r="D18" s="13" t="n">
        <f aca="false">D9/D10</f>
        <v>200</v>
      </c>
      <c r="E18" s="13" t="n">
        <f aca="false">E9/E10</f>
        <v>200</v>
      </c>
      <c r="F18" s="13" t="n">
        <f aca="false">F9/F10</f>
        <v>200</v>
      </c>
      <c r="G18" s="8" t="s">
        <v>124</v>
      </c>
    </row>
    <row r="19" customFormat="false" ht="15" hidden="false" customHeight="false" outlineLevel="0" collapsed="false">
      <c r="A19" s="5" t="s">
        <v>125</v>
      </c>
      <c r="B19" s="13" t="n">
        <f aca="false">(B6-B7)-(B6*B8)-(B9/B10)</f>
        <v>224</v>
      </c>
      <c r="C19" s="13" t="n">
        <f aca="false">(C6-C7)-(C6*C8)-(C9/C10)</f>
        <v>356</v>
      </c>
      <c r="D19" s="13" t="n">
        <f aca="false">(D6-D7)-(D6*D8)-(D9/D10)</f>
        <v>168</v>
      </c>
      <c r="E19" s="13" t="n">
        <f aca="false">(E6-E7)-(E6*E8)-(E9/E10)</f>
        <v>224</v>
      </c>
      <c r="F19" s="13" t="n">
        <f aca="false">(F6-F7)-(F6*F8)-(F9/F10)</f>
        <v>136</v>
      </c>
      <c r="G19" s="8" t="s">
        <v>126</v>
      </c>
    </row>
    <row r="20" customFormat="false" ht="15" hidden="false" customHeight="false" outlineLevel="0" collapsed="false">
      <c r="A20" s="5" t="s">
        <v>127</v>
      </c>
      <c r="B20" s="13" t="n">
        <f aca="false">(B6-B7)-(B6*B8)</f>
        <v>424</v>
      </c>
      <c r="C20" s="13" t="n">
        <f aca="false">(C6-C7)-(C6*C8)</f>
        <v>556</v>
      </c>
      <c r="D20" s="13" t="n">
        <f aca="false">(D6-D7)-(D6*D8)</f>
        <v>368</v>
      </c>
      <c r="E20" s="13" t="n">
        <f aca="false">(E6-E7)-(E6*E8)</f>
        <v>424</v>
      </c>
      <c r="F20" s="13" t="n">
        <f aca="false">(F6-F7)-(F6*F8)</f>
        <v>336</v>
      </c>
      <c r="G20" s="8" t="s">
        <v>128</v>
      </c>
    </row>
    <row r="21" customFormat="false" ht="15" hidden="false" customHeight="false" outlineLevel="0" collapsed="false">
      <c r="A21" s="5" t="s">
        <v>46</v>
      </c>
      <c r="B21" s="16" t="n">
        <f aca="false">B6*(B10+B11)</f>
        <v>2800000</v>
      </c>
      <c r="C21" s="16" t="n">
        <f aca="false">C6*(C10+C11)</f>
        <v>3325000</v>
      </c>
      <c r="D21" s="16" t="n">
        <f aca="false">D6*(D10+D11)</f>
        <v>2800000</v>
      </c>
      <c r="E21" s="16" t="n">
        <f aca="false">E6*(E10+E11)</f>
        <v>4000000</v>
      </c>
      <c r="F21" s="16" t="n">
        <f aca="false">F6*(F10+F11)</f>
        <v>2450000</v>
      </c>
      <c r="G21" s="8" t="s">
        <v>129</v>
      </c>
    </row>
    <row r="22" customFormat="false" ht="15" hidden="false" customHeight="false" outlineLevel="0" collapsed="false">
      <c r="A22" s="17" t="s">
        <v>130</v>
      </c>
      <c r="B22" s="21" t="n">
        <f aca="false">(((B6-B7)-(B6*B8)-(B9/B10))*B10)+(((B6-B7)-(B6*B8))*B11)-B12</f>
        <v>1034000</v>
      </c>
      <c r="C22" s="21" t="n">
        <f aca="false">(((C6-C7)-(C6*C8)-(C9/C10))*C10)+(((C6-C7)-(C6*C8))*C11)-C12</f>
        <v>1496000</v>
      </c>
      <c r="D22" s="21" t="n">
        <f aca="false">(((D6-D7)-(D6*D8)-(D9/D10))*D10)+(((D6-D7)-(D6*D8))*D11)-D12</f>
        <v>838000</v>
      </c>
      <c r="E22" s="21" t="n">
        <f aca="false">(((E6-E7)-(E6*E8)-(E9/E10))*E10)+(((E6-E7)-(E6*E8))*E11)-E12</f>
        <v>1670000</v>
      </c>
      <c r="F22" s="21" t="n">
        <f aca="false">(((F6-F7)-(F6*F8)-(F9/F10))*F10)+(((F6-F7)-(F6*F8))*F11)-F12</f>
        <v>726000</v>
      </c>
      <c r="G22" s="8" t="s">
        <v>131</v>
      </c>
    </row>
    <row r="23" customFormat="false" ht="15" hidden="false" customHeight="false" outlineLevel="0" collapsed="false">
      <c r="A23" s="5" t="s">
        <v>94</v>
      </c>
      <c r="B23" s="19" t="n">
        <f aca="false">B9/(B6*B10)</f>
        <v>0.25</v>
      </c>
      <c r="C23" s="19" t="n">
        <f aca="false">C9/(C6*C10)</f>
        <v>0.210526315789474</v>
      </c>
      <c r="D23" s="19" t="n">
        <f aca="false">D9/(D6*D10)</f>
        <v>0.25</v>
      </c>
      <c r="E23" s="19" t="n">
        <f aca="false">E9/(E6*E10)</f>
        <v>0.25</v>
      </c>
      <c r="F23" s="19" t="n">
        <f aca="false">F9/(F6*F10)</f>
        <v>0.285714285714286</v>
      </c>
      <c r="G23" s="8" t="s">
        <v>132</v>
      </c>
    </row>
    <row r="24" customFormat="false" ht="15" hidden="false" customHeight="false" outlineLevel="0" collapsed="false">
      <c r="A24" s="5" t="s">
        <v>102</v>
      </c>
      <c r="B24" s="19" t="n">
        <f aca="false">B9/(B6*(B10+B11))</f>
        <v>0.107142857142857</v>
      </c>
      <c r="C24" s="19" t="n">
        <f aca="false">C9/(C6*(C10+C11))</f>
        <v>0.0902255639097744</v>
      </c>
      <c r="D24" s="19" t="n">
        <f aca="false">D9/(D6*(D10+D11))</f>
        <v>0.107142857142857</v>
      </c>
      <c r="E24" s="19" t="n">
        <f aca="false">E9/(E6*(E10+E11))</f>
        <v>0.075</v>
      </c>
      <c r="F24" s="19" t="n">
        <f aca="false">F9/(F6*(F10+F11))</f>
        <v>0.122448979591837</v>
      </c>
      <c r="G24" s="8" t="s">
        <v>133</v>
      </c>
    </row>
    <row r="25" customFormat="false" ht="15" hidden="false" customHeight="false" outlineLevel="0" collapsed="false">
      <c r="A25" s="5" t="s">
        <v>134</v>
      </c>
      <c r="B25" s="16" t="n">
        <f aca="false">((B6-B7-B6*B8)*(B10+B11))-B12</f>
        <v>1334000</v>
      </c>
      <c r="C25" s="16" t="n">
        <f aca="false">((C6-C7-C6*C8)*(C10+C11))-C12</f>
        <v>1796000</v>
      </c>
      <c r="D25" s="16" t="n">
        <f aca="false">((D6-D7-D6*D8)*(D10+D11))-D12</f>
        <v>1138000</v>
      </c>
      <c r="E25" s="16" t="n">
        <f aca="false">((E6-E7-E6*E8)*(E10+E11))-E12</f>
        <v>1970000</v>
      </c>
      <c r="F25" s="16" t="n">
        <f aca="false">((F6-F7-F6*F8)*(F10+F11))-F12</f>
        <v>1026000</v>
      </c>
      <c r="G25" s="8" t="s">
        <v>135</v>
      </c>
    </row>
    <row r="28" customFormat="false" ht="19.5" hidden="false" customHeight="true" outlineLevel="0" collapsed="false">
      <c r="A28" s="3" t="s">
        <v>136</v>
      </c>
      <c r="B28" s="3"/>
      <c r="C28" s="3"/>
      <c r="D28" s="3"/>
      <c r="E28" s="3"/>
      <c r="F28" s="3"/>
      <c r="G28" s="3"/>
    </row>
    <row r="29" customFormat="false" ht="42" hidden="false" customHeight="true" outlineLevel="0" collapsed="false">
      <c r="A29" s="40" t="s">
        <v>137</v>
      </c>
      <c r="B29" s="40"/>
      <c r="C29" s="40"/>
      <c r="D29" s="40"/>
      <c r="E29" s="40"/>
      <c r="F29" s="40"/>
      <c r="G29" s="40"/>
    </row>
    <row r="30" customFormat="false" ht="42" hidden="false" customHeight="true" outlineLevel="0" collapsed="false">
      <c r="A30" s="41" t="s">
        <v>138</v>
      </c>
      <c r="B30" s="41"/>
      <c r="C30" s="41"/>
      <c r="D30" s="41"/>
      <c r="E30" s="41"/>
      <c r="F30" s="41"/>
      <c r="G30" s="41"/>
    </row>
    <row r="31" customFormat="false" ht="42" hidden="false" customHeight="true" outlineLevel="0" collapsed="false">
      <c r="A31" s="40" t="s">
        <v>139</v>
      </c>
      <c r="B31" s="40"/>
      <c r="C31" s="40"/>
      <c r="D31" s="40"/>
      <c r="E31" s="40"/>
      <c r="F31" s="40"/>
      <c r="G31" s="40"/>
    </row>
    <row r="32" customFormat="false" ht="42" hidden="false" customHeight="true" outlineLevel="0" collapsed="false">
      <c r="A32" s="41" t="s">
        <v>140</v>
      </c>
      <c r="B32" s="41"/>
      <c r="C32" s="41"/>
      <c r="D32" s="41"/>
      <c r="E32" s="41"/>
      <c r="F32" s="41"/>
      <c r="G32" s="41"/>
    </row>
  </sheetData>
  <mergeCells count="9">
    <mergeCell ref="A1:G1"/>
    <mergeCell ref="A2:G2"/>
    <mergeCell ref="A4:G4"/>
    <mergeCell ref="A14:G14"/>
    <mergeCell ref="A28:G28"/>
    <mergeCell ref="A29:G29"/>
    <mergeCell ref="A30:G30"/>
    <mergeCell ref="A31:G31"/>
    <mergeCell ref="A32:G32"/>
  </mergeCells>
  <conditionalFormatting sqref="B22">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C22">
    <cfRule type="cellIs" priority="4" operator="lessThan" aboveAverage="0" equalAverage="0" bottom="0" percent="0" rank="0" text="" dxfId="0">
      <formula>0</formula>
    </cfRule>
    <cfRule type="cellIs" priority="5" operator="greaterThanOrEqual" aboveAverage="0" equalAverage="0" bottom="0" percent="0" rank="0" text="" dxfId="1">
      <formula>0</formula>
    </cfRule>
  </conditionalFormatting>
  <conditionalFormatting sqref="D22">
    <cfRule type="cellIs" priority="6" operator="lessThan" aboveAverage="0" equalAverage="0" bottom="0" percent="0" rank="0" text="" dxfId="0">
      <formula>0</formula>
    </cfRule>
    <cfRule type="cellIs" priority="7" operator="greaterThanOrEqual" aboveAverage="0" equalAverage="0" bottom="0" percent="0" rank="0" text="" dxfId="1">
      <formula>0</formula>
    </cfRule>
  </conditionalFormatting>
  <conditionalFormatting sqref="E22">
    <cfRule type="cellIs" priority="8" operator="lessThan" aboveAverage="0" equalAverage="0" bottom="0" percent="0" rank="0" text="" dxfId="0">
      <formula>0</formula>
    </cfRule>
    <cfRule type="cellIs" priority="9" operator="greaterThanOrEqual" aboveAverage="0" equalAverage="0" bottom="0" percent="0" rank="0" text="" dxfId="1">
      <formula>0</formula>
    </cfRule>
  </conditionalFormatting>
  <conditionalFormatting sqref="F22">
    <cfRule type="cellIs" priority="10" operator="lessThan" aboveAverage="0" equalAverage="0" bottom="0" percent="0" rank="0" text="" dxfId="0">
      <formula>0</formula>
    </cfRule>
    <cfRule type="cellIs" priority="11" operator="greaterThanOrEqual" aboveAverage="0" equalAverage="0" bottom="0" percent="0" rank="0" text="" dxfId="1">
      <formula>0</formula>
    </cfRule>
  </conditionalFormatting>
  <conditionalFormatting sqref="B25">
    <cfRule type="cellIs" priority="12" operator="greaterThan" aboveAverage="0" equalAverage="0" bottom="0" percent="0" rank="0" text="" dxfId="2">
      <formula>0.15</formula>
    </cfRule>
  </conditionalFormatting>
  <conditionalFormatting sqref="C25">
    <cfRule type="cellIs" priority="13" operator="greaterThan" aboveAverage="0" equalAverage="0" bottom="0" percent="0" rank="0" text="" dxfId="2">
      <formula>0.15</formula>
    </cfRule>
  </conditionalFormatting>
  <conditionalFormatting sqref="D25">
    <cfRule type="cellIs" priority="14" operator="greaterThan" aboveAverage="0" equalAverage="0" bottom="0" percent="0" rank="0" text="" dxfId="2">
      <formula>0.15</formula>
    </cfRule>
  </conditionalFormatting>
  <conditionalFormatting sqref="E25">
    <cfRule type="cellIs" priority="15" operator="greaterThan" aboveAverage="0" equalAverage="0" bottom="0" percent="0" rank="0" text="" dxfId="2">
      <formula>0.15</formula>
    </cfRule>
  </conditionalFormatting>
  <conditionalFormatting sqref="F25">
    <cfRule type="cellIs" priority="16" operator="greaterThan" aboveAverage="0" equalAverage="0" bottom="0" percent="0" rank="0" text="" dxfId="2">
      <formula>0.15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5"/>
  </cols>
  <sheetData>
    <row r="1" customFormat="false" ht="27.75" hidden="false" customHeight="true" outlineLevel="0" collapsed="false">
      <c r="A1" s="42" t="s">
        <v>141</v>
      </c>
      <c r="B1" s="42"/>
    </row>
    <row r="2" customFormat="false" ht="15" hidden="false" customHeight="false" outlineLevel="0" collapsed="false">
      <c r="A2" s="43" t="s">
        <v>142</v>
      </c>
      <c r="B2" s="44" t="s">
        <v>143</v>
      </c>
    </row>
    <row r="3" customFormat="false" ht="18" hidden="false" customHeight="true" outlineLevel="0" collapsed="false">
      <c r="A3" s="45" t="s">
        <v>144</v>
      </c>
      <c r="B3" s="46" t="s">
        <v>145</v>
      </c>
    </row>
    <row r="4" customFormat="false" ht="18" hidden="false" customHeight="true" outlineLevel="0" collapsed="false">
      <c r="A4" s="45" t="s">
        <v>146</v>
      </c>
      <c r="B4" s="46" t="s">
        <v>147</v>
      </c>
    </row>
    <row r="5" customFormat="false" ht="18" hidden="false" customHeight="true" outlineLevel="0" collapsed="false">
      <c r="A5" s="45"/>
      <c r="B5" s="46"/>
    </row>
    <row r="6" customFormat="false" ht="15" hidden="false" customHeight="false" outlineLevel="0" collapsed="false">
      <c r="A6" s="47" t="s">
        <v>148</v>
      </c>
      <c r="B6" s="48" t="s">
        <v>149</v>
      </c>
    </row>
    <row r="7" customFormat="false" ht="49.5" hidden="false" customHeight="true" outlineLevel="0" collapsed="false">
      <c r="A7" s="45" t="s">
        <v>150</v>
      </c>
      <c r="B7" s="46" t="s">
        <v>151</v>
      </c>
    </row>
    <row r="8" customFormat="false" ht="15" hidden="false" customHeight="false" outlineLevel="0" collapsed="false">
      <c r="A8" s="47" t="s">
        <v>152</v>
      </c>
      <c r="B8" s="48" t="s">
        <v>153</v>
      </c>
    </row>
    <row r="9" customFormat="false" ht="49.5" hidden="false" customHeight="true" outlineLevel="0" collapsed="false">
      <c r="A9" s="45" t="s">
        <v>150</v>
      </c>
      <c r="B9" s="46" t="s">
        <v>154</v>
      </c>
    </row>
    <row r="10" customFormat="false" ht="15" hidden="false" customHeight="false" outlineLevel="0" collapsed="false">
      <c r="A10" s="47" t="s">
        <v>155</v>
      </c>
      <c r="B10" s="48" t="s">
        <v>156</v>
      </c>
    </row>
    <row r="11" customFormat="false" ht="49.5" hidden="false" customHeight="true" outlineLevel="0" collapsed="false">
      <c r="A11" s="45" t="s">
        <v>150</v>
      </c>
      <c r="B11" s="46" t="s">
        <v>157</v>
      </c>
    </row>
    <row r="12" customFormat="false" ht="18" hidden="false" customHeight="true" outlineLevel="0" collapsed="false">
      <c r="A12" s="45"/>
      <c r="B12" s="46"/>
    </row>
    <row r="13" customFormat="false" ht="120" hidden="false" customHeight="true" outlineLevel="0" collapsed="false">
      <c r="A13" s="49" t="s">
        <v>158</v>
      </c>
      <c r="B13" s="50" t="s">
        <v>159</v>
      </c>
    </row>
    <row r="14" customFormat="false" ht="18" hidden="false" customHeight="true" outlineLevel="0" collapsed="false">
      <c r="A14" s="45"/>
      <c r="B14" s="46"/>
    </row>
    <row r="15" customFormat="false" ht="15" hidden="false" customHeight="false" outlineLevel="0" collapsed="false">
      <c r="A15" s="43" t="s">
        <v>142</v>
      </c>
      <c r="B15" s="44" t="s">
        <v>160</v>
      </c>
    </row>
    <row r="16" customFormat="false" ht="49.5" hidden="false" customHeight="true" outlineLevel="0" collapsed="false">
      <c r="A16" s="45" t="s">
        <v>161</v>
      </c>
      <c r="B16" s="46" t="s">
        <v>162</v>
      </c>
    </row>
    <row r="17" customFormat="false" ht="18" hidden="false" customHeight="true" outlineLevel="0" collapsed="false">
      <c r="A17" s="45"/>
      <c r="B17" s="46"/>
    </row>
    <row r="18" customFormat="false" ht="69.75" hidden="false" customHeight="true" outlineLevel="0" collapsed="false">
      <c r="A18" s="51" t="s">
        <v>163</v>
      </c>
      <c r="B18" s="52" t="s">
        <v>164</v>
      </c>
    </row>
    <row r="19" customFormat="false" ht="69.75" hidden="false" customHeight="true" outlineLevel="0" collapsed="false">
      <c r="A19" s="51" t="s">
        <v>165</v>
      </c>
      <c r="B19" s="52" t="s">
        <v>166</v>
      </c>
    </row>
    <row r="20" customFormat="false" ht="69.75" hidden="false" customHeight="true" outlineLevel="0" collapsed="false">
      <c r="A20" s="51" t="s">
        <v>167</v>
      </c>
      <c r="B20" s="52" t="s">
        <v>168</v>
      </c>
    </row>
    <row r="21" customFormat="false" ht="79.5" hidden="false" customHeight="true" outlineLevel="0" collapsed="false">
      <c r="A21" s="53" t="s">
        <v>169</v>
      </c>
      <c r="B21" s="54" t="s">
        <v>170</v>
      </c>
    </row>
    <row r="22" customFormat="false" ht="18" hidden="false" customHeight="true" outlineLevel="0" collapsed="false">
      <c r="A22" s="45"/>
      <c r="B22" s="46"/>
    </row>
    <row r="23" customFormat="false" ht="120" hidden="false" customHeight="true" outlineLevel="0" collapsed="false">
      <c r="A23" s="49" t="s">
        <v>171</v>
      </c>
      <c r="B23" s="50" t="s">
        <v>172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2026-06-02T11:48:09Z</dcterms:created>
  <dc:creator>openpyxl</dc:creator>
  <dc:description/>
  <dc:language>en-US</dc:language>
  <cp:lastModifiedBy/>
  <dcterms:modified xsi:type="dcterms:W3CDTF">2026-06-02T11:48:09Z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